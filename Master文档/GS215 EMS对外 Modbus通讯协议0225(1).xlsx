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1" activeTab="3"/>
  </bookViews>
  <sheets>
    <sheet name="版本管理" sheetId="1" r:id="rId1"/>
    <sheet name="帧结构定义" sheetId="2" r:id="rId2"/>
    <sheet name="寄存器地址规划" sheetId="3" r:id="rId3"/>
    <sheet name="遥测" sheetId="4" r:id="rId4"/>
    <sheet name="遥信" sheetId="5" r:id="rId5"/>
    <sheet name="遥调遥控" sheetId="6" r:id="rId6"/>
    <sheet name="附件" sheetId="7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CADE7A778749E48F0DC47B2C90F3F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11175" y="130225800"/>
          <a:ext cx="16097250" cy="72326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<sst xmlns="http://schemas.openxmlformats.org/spreadsheetml/2006/main" count="7076" uniqueCount="2235">
  <si>
    <t>Revision Management
版本管理</t>
  </si>
  <si>
    <t>Revision
版本</t>
  </si>
  <si>
    <t>Date
日期</t>
  </si>
  <si>
    <t>Author
作者</t>
  </si>
  <si>
    <t>Reviewed by
审核</t>
  </si>
  <si>
    <t>Approved by
批准</t>
  </si>
  <si>
    <t>Changes Comments
修改说明</t>
  </si>
  <si>
    <t>V1.0</t>
  </si>
  <si>
    <t>李向阳</t>
  </si>
  <si>
    <t>建立初版</t>
  </si>
  <si>
    <t>序号</t>
  </si>
  <si>
    <t>功能说明</t>
  </si>
  <si>
    <t>备注</t>
  </si>
  <si>
    <t>功能代码</t>
  </si>
  <si>
    <t>功能名称</t>
  </si>
  <si>
    <t>执行时有效</t>
  </si>
  <si>
    <t>寄存器的算法:寄存器地址=Page页码数*256+偏移地址（register_address=page_number*256+register_offset）</t>
  </si>
  <si>
    <t>读多个寄存器</t>
  </si>
  <si>
    <t>是</t>
  </si>
  <si>
    <t>可以读一个或多个寄存器</t>
  </si>
  <si>
    <t>若使用上位机监控时，设置如下数值：数据位：8 bit停止位：1 bit无奇偶校验位</t>
  </si>
  <si>
    <t>写多个寄存器</t>
  </si>
  <si>
    <t>可以写一个或多个寄存器</t>
  </si>
  <si>
    <t>读多位寄存器地址指令</t>
  </si>
  <si>
    <t>写多位寄存器地址指令</t>
  </si>
  <si>
    <t>发指令</t>
  </si>
  <si>
    <t>字节</t>
  </si>
  <si>
    <t>文件名称</t>
  </si>
  <si>
    <t>注意</t>
  </si>
  <si>
    <t>从设备地址（即ID号）</t>
  </si>
  <si>
    <t>功能代码（3）</t>
  </si>
  <si>
    <t>功能代码（16）</t>
  </si>
  <si>
    <t>第一个寄存器地址-高字节</t>
  </si>
  <si>
    <t>16位寄存器地址</t>
  </si>
  <si>
    <t>第一个寄存器地址-低字节</t>
  </si>
  <si>
    <t>读取的寄存器数-高字节</t>
  </si>
  <si>
    <t>16位寄存器数，须在1-125的范围内</t>
  </si>
  <si>
    <t>写入的寄存器数-高字节</t>
  </si>
  <si>
    <t>16位寄存器数，须在1-123的范围内</t>
  </si>
  <si>
    <t>读取的寄存器数-低字节</t>
  </si>
  <si>
    <t>写入的寄存器数-低字节</t>
  </si>
  <si>
    <t>检查校验码错误</t>
  </si>
  <si>
    <t>字节数（n)</t>
  </si>
  <si>
    <t>8个字节数（16位寄存器数*2）</t>
  </si>
  <si>
    <t>第一个寄存器内容-高字节</t>
  </si>
  <si>
    <t>16位寄存器</t>
  </si>
  <si>
    <t>第一个寄存器内容-低字节</t>
  </si>
  <si>
    <t>…</t>
  </si>
  <si>
    <r>
      <rPr>
        <sz val="11"/>
        <color rgb="FF000000"/>
        <rFont val="仿宋"/>
        <charset val="134"/>
      </rPr>
      <t>5</t>
    </r>
    <r>
      <rPr>
        <sz val="12"/>
        <color rgb="FF000000"/>
        <rFont val="仿宋"/>
        <charset val="134"/>
      </rPr>
      <t>+n</t>
    </r>
  </si>
  <si>
    <t>最后一个寄存器内容-高字节</t>
  </si>
  <si>
    <r>
      <rPr>
        <sz val="11"/>
        <color rgb="FF000000"/>
        <rFont val="仿宋"/>
        <charset val="134"/>
      </rPr>
      <t>6</t>
    </r>
    <r>
      <rPr>
        <sz val="12"/>
        <color rgb="FF000000"/>
        <rFont val="仿宋"/>
        <charset val="134"/>
      </rPr>
      <t>+n</t>
    </r>
  </si>
  <si>
    <t>最后一个寄存器内容-低字节</t>
  </si>
  <si>
    <t>8+n</t>
  </si>
  <si>
    <t>正常返回指令</t>
  </si>
  <si>
    <r>
      <rPr>
        <sz val="11"/>
        <color rgb="FF000000"/>
        <rFont val="仿宋"/>
        <charset val="134"/>
      </rPr>
      <t>字节数（n</t>
    </r>
    <r>
      <rPr>
        <sz val="12"/>
        <color rgb="FF000000"/>
        <rFont val="仿宋"/>
        <charset val="134"/>
      </rPr>
      <t>)</t>
    </r>
  </si>
  <si>
    <t>8位偶数范围在2-250（寄存器*2）</t>
  </si>
  <si>
    <t>16位寄存器器</t>
  </si>
  <si>
    <t>1+n</t>
  </si>
  <si>
    <t>最后一个寄存器-高字节</t>
  </si>
  <si>
    <t>16位的寄存器</t>
  </si>
  <si>
    <r>
      <rPr>
        <sz val="11"/>
        <color rgb="FF000000"/>
        <rFont val="仿宋"/>
        <charset val="134"/>
      </rPr>
      <t>2</t>
    </r>
    <r>
      <rPr>
        <sz val="12"/>
        <color rgb="FF000000"/>
        <rFont val="仿宋"/>
        <charset val="134"/>
      </rPr>
      <t>+n</t>
    </r>
  </si>
  <si>
    <t>最后一个寄存器-低字节</t>
  </si>
  <si>
    <r>
      <rPr>
        <sz val="11"/>
        <color rgb="FF000000"/>
        <rFont val="仿宋"/>
        <charset val="134"/>
      </rPr>
      <t>3</t>
    </r>
    <r>
      <rPr>
        <sz val="12"/>
        <color rgb="FF000000"/>
        <rFont val="仿宋"/>
        <charset val="134"/>
      </rPr>
      <t>+n、4+n</t>
    </r>
  </si>
  <si>
    <t>无效的响应信息</t>
  </si>
  <si>
    <t>功能代码128（131）</t>
  </si>
  <si>
    <t>最高位设置</t>
  </si>
  <si>
    <t>异常代码</t>
  </si>
  <si>
    <t xml:space="preserve">1- 非法功能码     2- 非法数据地址   6-从设备忙    </t>
  </si>
  <si>
    <r>
      <rPr>
        <sz val="11"/>
        <color rgb="FF000000"/>
        <rFont val="微软雅黑"/>
        <charset val="134"/>
      </rPr>
      <t>¾</t>
    </r>
  </si>
  <si>
    <t xml:space="preserve">如：发送读指令的格式（十六进制）             0A 03 04 00 00 10 + CRC     0A：控制器的ID号       
03：功能代码，代表读指令0400：转成十进制为1024      0010：从1024开始读16位字的内容         CRC:校验码         </t>
  </si>
  <si>
    <t>如：发送写指令的格式（十六进制）    0A 10 10 08 00 02 04 8B 74 74 8B + CRC         0A：控制器的ID号       10：功能代码，代表写指令1008：转成十进制为4104，是控制按钮的地址      00 02：写两个字        04：写四个字节      8B 74：低地址的内容，即4104的内容         
74 8B：高地址的内容，即4015的内容</t>
  </si>
  <si>
    <t>寄存器地址规划</t>
  </si>
  <si>
    <t>信息点表</t>
  </si>
  <si>
    <t>起始地址</t>
  </si>
  <si>
    <t>结束地址</t>
  </si>
  <si>
    <t>可容纳台数</t>
  </si>
  <si>
    <t>单台LC对应设备台数</t>
  </si>
  <si>
    <t>单台寄存器数量</t>
  </si>
  <si>
    <t>EMS信息</t>
  </si>
  <si>
    <t>/</t>
  </si>
  <si>
    <t>EMS动环</t>
  </si>
  <si>
    <t>外部电表信息</t>
  </si>
  <si>
    <t>JP柜配电柜</t>
  </si>
  <si>
    <t>STS设备</t>
  </si>
  <si>
    <t>STS柜内电表和板卡</t>
  </si>
  <si>
    <t>柴发</t>
  </si>
  <si>
    <t>LC信息</t>
  </si>
  <si>
    <t>PCS信息</t>
  </si>
  <si>
    <t>BMS信息</t>
  </si>
  <si>
    <t>MPPT信息</t>
  </si>
  <si>
    <t>LC辅电电表信息</t>
  </si>
  <si>
    <t>空调信息</t>
  </si>
  <si>
    <t>LC动环+板卡信息</t>
  </si>
  <si>
    <t>遥测信息(功能码0x03)</t>
  </si>
  <si>
    <t>起始寄存器地址（十进制）</t>
  </si>
  <si>
    <t>寄存器数量</t>
  </si>
  <si>
    <t>变量名称</t>
  </si>
  <si>
    <t>中文名</t>
  </si>
  <si>
    <t>读写属性</t>
  </si>
  <si>
    <t>单位</t>
  </si>
  <si>
    <t>数据类型</t>
  </si>
  <si>
    <t>寄存器中数据类型</t>
  </si>
  <si>
    <t>比例系数</t>
  </si>
  <si>
    <t>偏移量</t>
  </si>
  <si>
    <t>取值范围</t>
  </si>
  <si>
    <t>说明</t>
  </si>
  <si>
    <t>EMS信息 lc_idx 从0开始</t>
  </si>
  <si>
    <t>SystemState</t>
  </si>
  <si>
    <t>系统状态</t>
  </si>
  <si>
    <t>R</t>
  </si>
  <si>
    <t>uint32</t>
  </si>
  <si>
    <t>0：正常；1：停机；2：离线；3：故障 4：告警</t>
  </si>
  <si>
    <t>RunScene</t>
  </si>
  <si>
    <t>运行场景</t>
  </si>
  <si>
    <t>uint16</t>
  </si>
  <si>
    <t>0：并网  1：离网</t>
  </si>
  <si>
    <t>标明取值范围</t>
  </si>
  <si>
    <t>DefineScene</t>
  </si>
  <si>
    <t>定义场景</t>
  </si>
  <si>
    <t>0：无状态 1：离网 2：电网 3：柴发</t>
  </si>
  <si>
    <t>CabinetOnlineNum</t>
  </si>
  <si>
    <t>储能柜在线个数</t>
  </si>
  <si>
    <t>CabinetTotalNum</t>
  </si>
  <si>
    <t>储能柜总数</t>
  </si>
  <si>
    <t>PCSOnlineNum</t>
  </si>
  <si>
    <t>PCS在线个数</t>
  </si>
  <si>
    <t>PCSTotalNum</t>
  </si>
  <si>
    <t>PCS总数</t>
  </si>
  <si>
    <t>BatteryStackOnlineNum</t>
  </si>
  <si>
    <t>电池堆在线个数</t>
  </si>
  <si>
    <t>BatteryStackTotalNum</t>
  </si>
  <si>
    <t>电池堆总个数</t>
  </si>
  <si>
    <t>BatteryClusterOnlineNum</t>
  </si>
  <si>
    <t>电池簇在线个数</t>
  </si>
  <si>
    <t>BatteryClusterTotalNum</t>
  </si>
  <si>
    <t>电池簇总个数</t>
  </si>
  <si>
    <t>ACOnlineNum</t>
  </si>
  <si>
    <t>空调在线个数</t>
  </si>
  <si>
    <t>ACTotalNum</t>
  </si>
  <si>
    <t>空调总个数</t>
  </si>
  <si>
    <t>DehumiOnlineNum</t>
  </si>
  <si>
    <t>除湿机当前个数</t>
  </si>
  <si>
    <t>DehumiTotalNum</t>
  </si>
  <si>
    <t>除湿机总数</t>
  </si>
  <si>
    <t>MeterOnlineNum</t>
  </si>
  <si>
    <t>电表在线个数</t>
  </si>
  <si>
    <t>MeterTotalNum</t>
  </si>
  <si>
    <t>电表总个数</t>
  </si>
  <si>
    <t>SOC</t>
  </si>
  <si>
    <t>%</t>
  </si>
  <si>
    <t>float64</t>
  </si>
  <si>
    <t>uint64_t</t>
  </si>
  <si>
    <t>SOH</t>
  </si>
  <si>
    <t>TodayCharge</t>
  </si>
  <si>
    <t>今日充电量</t>
  </si>
  <si>
    <t>kWh</t>
  </si>
  <si>
    <t>TodayDischarge</t>
  </si>
  <si>
    <t>今日放电量</t>
  </si>
  <si>
    <t>CumulativeCharge</t>
  </si>
  <si>
    <t>累积充电量</t>
  </si>
  <si>
    <t>CumulativeDischarge</t>
  </si>
  <si>
    <t>累积放电量</t>
  </si>
  <si>
    <t>PCSActivePower</t>
  </si>
  <si>
    <t>pcs有功功率</t>
  </si>
  <si>
    <t>W</t>
  </si>
  <si>
    <t>GridActivePower</t>
  </si>
  <si>
    <t>电网有功功率</t>
  </si>
  <si>
    <t>LoadActivePower</t>
  </si>
  <si>
    <t>负载有功功率</t>
  </si>
  <si>
    <t>ModeState</t>
  </si>
  <si>
    <t>模式状态</t>
  </si>
  <si>
    <t>ENUM</t>
  </si>
  <si>
    <t>uint16_t</t>
  </si>
  <si>
    <t>1:本地模式；0:远程模式；2:运维模式;</t>
  </si>
  <si>
    <t>RunningCondition</t>
  </si>
  <si>
    <t>投运情况</t>
  </si>
  <si>
    <t>1:投运；2:部分投运；3:停机;</t>
  </si>
  <si>
    <t>SignalQuality</t>
  </si>
  <si>
    <t>网络通信质量</t>
  </si>
  <si>
    <t>int32_t</t>
  </si>
  <si>
    <t>PVOutputPower</t>
  </si>
  <si>
    <t>PV功率</t>
  </si>
  <si>
    <t>float32</t>
  </si>
  <si>
    <t>GenTotalPower</t>
  </si>
  <si>
    <t>柴发功率</t>
  </si>
  <si>
    <t>MPPTTotalNum</t>
  </si>
  <si>
    <t>MPPT总个数</t>
  </si>
  <si>
    <t>MPPTOnlineNum</t>
  </si>
  <si>
    <t>MPPT当前个数</t>
  </si>
  <si>
    <t>STSTotalNum</t>
  </si>
  <si>
    <t>STS总个数</t>
  </si>
  <si>
    <t>STSOnlineNum</t>
  </si>
  <si>
    <t>STS当前个数</t>
  </si>
  <si>
    <t>IOBoardCurrentNum</t>
  </si>
  <si>
    <t>IO板卡当前个数</t>
  </si>
  <si>
    <t>IOBoardTotalNum</t>
  </si>
  <si>
    <t>IO板卡总个数</t>
  </si>
  <si>
    <t>PVShutdownNum</t>
  </si>
  <si>
    <t>光伏状态:停机个数</t>
  </si>
  <si>
    <t>PVStandbyNum</t>
  </si>
  <si>
    <t>光伏状态:待机个数</t>
  </si>
  <si>
    <t>PVChargeNum</t>
  </si>
  <si>
    <t>光伏状态:充电个数</t>
  </si>
  <si>
    <t>PVDischargeNum</t>
  </si>
  <si>
    <t>光伏状态:放电个数</t>
  </si>
  <si>
    <t>DeviceChargeNum</t>
  </si>
  <si>
    <t>充电个数</t>
  </si>
  <si>
    <t>DeviceDischargeNum</t>
  </si>
  <si>
    <t>放电个数</t>
  </si>
  <si>
    <t>DeviceStandbyNum</t>
  </si>
  <si>
    <t>待机个数</t>
  </si>
  <si>
    <t>DeviceFaultNum</t>
  </si>
  <si>
    <t>故障个数</t>
  </si>
  <si>
    <t>AlarmNum</t>
  </si>
  <si>
    <t>告警个数</t>
  </si>
  <si>
    <t>OfflineNum</t>
  </si>
  <si>
    <t>离线个数</t>
  </si>
  <si>
    <t>DeviceShutdownNum</t>
  </si>
  <si>
    <t>停机个数</t>
  </si>
  <si>
    <t>DeviceInterruptNum</t>
  </si>
  <si>
    <t>通讯中断个数</t>
  </si>
  <si>
    <t>DailyPVGenerationTotalCapacity</t>
  </si>
  <si>
    <t>当日PV总发电量</t>
  </si>
  <si>
    <t>HistoryPvGenerationCapacity</t>
  </si>
  <si>
    <t>历史PV发电量</t>
  </si>
  <si>
    <t>BatteryPower</t>
  </si>
  <si>
    <t>电池总功率</t>
  </si>
  <si>
    <t>ems动环控制器信息 env_idx 从0开始</t>
  </si>
  <si>
    <t>QF1GridFeedback</t>
  </si>
  <si>
    <t>QF1电网反馈</t>
  </si>
  <si>
    <t>uint8_t</t>
  </si>
  <si>
    <t>0：电网没电 1：电网有电</t>
  </si>
  <si>
    <t>DieselGenerator</t>
  </si>
  <si>
    <t>柴发反馈</t>
  </si>
  <si>
    <t>0：柴发没电 1：柴发有电</t>
  </si>
  <si>
    <t>标明具体的数值代表什么反馈意思</t>
  </si>
  <si>
    <t>EmergencyStop</t>
  </si>
  <si>
    <t>急停反馈</t>
  </si>
  <si>
    <t>0：无紧急信号输入 1：有紧急信号输入</t>
  </si>
  <si>
    <t>LtgProtsignal</t>
  </si>
  <si>
    <t>防雷信号</t>
  </si>
  <si>
    <t>0：未触发 1：触发</t>
  </si>
  <si>
    <t>标明具体的数值代表什么防雷信号</t>
  </si>
  <si>
    <t>DieselGenEnable</t>
  </si>
  <si>
    <t>柴发启动</t>
  </si>
  <si>
    <t>0：关闭 1：开启</t>
  </si>
  <si>
    <t>标明具体的数值代表什么启动信号</t>
  </si>
  <si>
    <t>RemoteEmergencyStop</t>
  </si>
  <si>
    <t>远程急停</t>
  </si>
  <si>
    <t>标明具体的数值代表什么急停信号</t>
  </si>
  <si>
    <t>ControlMode</t>
  </si>
  <si>
    <t>DO控制模式</t>
  </si>
  <si>
    <t xml:space="preserve">1: 手动控制模式  0：自动控制模式 </t>
  </si>
  <si>
    <t>外部电表数据 meter_idx从0开始</t>
  </si>
  <si>
    <t>L1PhaseVoltage</t>
  </si>
  <si>
    <t>L1相电压</t>
  </si>
  <si>
    <t>V</t>
  </si>
  <si>
    <t>L2PhaseVoltage</t>
  </si>
  <si>
    <t>L2相电压</t>
  </si>
  <si>
    <t>L3PhaseVoltage</t>
  </si>
  <si>
    <t>L3相电压</t>
  </si>
  <si>
    <t>L1Current</t>
  </si>
  <si>
    <t>L1电流</t>
  </si>
  <si>
    <t>A</t>
  </si>
  <si>
    <t>L2Current</t>
  </si>
  <si>
    <t>L2电流</t>
  </si>
  <si>
    <t>L3Current</t>
  </si>
  <si>
    <t>L3电流</t>
  </si>
  <si>
    <t>L1ActivePower</t>
  </si>
  <si>
    <t>L1有功功率</t>
  </si>
  <si>
    <t>kW</t>
  </si>
  <si>
    <t>L2ActivePower</t>
  </si>
  <si>
    <t>L2有功功率</t>
  </si>
  <si>
    <t>L3ActivePower</t>
  </si>
  <si>
    <t>L3有功功率</t>
  </si>
  <si>
    <t>L1AptPower</t>
  </si>
  <si>
    <t>L1视在功率</t>
  </si>
  <si>
    <t>VA</t>
  </si>
  <si>
    <t>L2AptPower</t>
  </si>
  <si>
    <t>L2视在功率</t>
  </si>
  <si>
    <t>L3AptPower</t>
  </si>
  <si>
    <t>L3视在功率</t>
  </si>
  <si>
    <t>L1ReactivePower</t>
  </si>
  <si>
    <t>L1无功功率</t>
  </si>
  <si>
    <t>kvar</t>
  </si>
  <si>
    <t>L2ReactivePower</t>
  </si>
  <si>
    <t>L2无功功率</t>
  </si>
  <si>
    <t>L3ReactivePower</t>
  </si>
  <si>
    <t>L3无功功率</t>
  </si>
  <si>
    <t>L1PowerFactor</t>
  </si>
  <si>
    <t>L1功率因数</t>
  </si>
  <si>
    <t>L2PowerFactor</t>
  </si>
  <si>
    <t>L2功率因数</t>
  </si>
  <si>
    <t>L3PowerFactor</t>
  </si>
  <si>
    <t>L3功率因数</t>
  </si>
  <si>
    <t>L1VCAngle</t>
  </si>
  <si>
    <t>L1电压电流夹角</t>
  </si>
  <si>
    <t>L2VCAngle</t>
  </si>
  <si>
    <t>L2电压电流夹角</t>
  </si>
  <si>
    <t>L3VCAngle</t>
  </si>
  <si>
    <t>L3电压电流夹角</t>
  </si>
  <si>
    <t>AvgPhaseVoltage</t>
  </si>
  <si>
    <t>三相相电压平均值</t>
  </si>
  <si>
    <t>AvgPhasecurrent</t>
  </si>
  <si>
    <t>三相电流平均值</t>
  </si>
  <si>
    <t>PhaseCurrentSum</t>
  </si>
  <si>
    <t>三相电流和</t>
  </si>
  <si>
    <t>TolActivePower</t>
  </si>
  <si>
    <t>总有功功率</t>
  </si>
  <si>
    <t>TolAptPower</t>
  </si>
  <si>
    <t>总视在功率</t>
  </si>
  <si>
    <t>TolReactivePower</t>
  </si>
  <si>
    <t>总无功功率</t>
  </si>
  <si>
    <t>TolPowerFactor</t>
  </si>
  <si>
    <t>总功率因数</t>
  </si>
  <si>
    <t>TolVCAngle</t>
  </si>
  <si>
    <t>总电压电流夹角</t>
  </si>
  <si>
    <t>Frequency</t>
  </si>
  <si>
    <t>频率</t>
  </si>
  <si>
    <t>Hz</t>
  </si>
  <si>
    <t>PosActiveCharge</t>
  </si>
  <si>
    <t>正向有功电量</t>
  </si>
  <si>
    <t>RevActiveCharge</t>
  </si>
  <si>
    <t>反向有功电量</t>
  </si>
  <si>
    <t>PoSReactivePower</t>
  </si>
  <si>
    <t>正向无功电量</t>
  </si>
  <si>
    <t>RevReactivePower</t>
  </si>
  <si>
    <t>反向无功电量</t>
  </si>
  <si>
    <t>AptEnergy</t>
  </si>
  <si>
    <t>视在电量</t>
  </si>
  <si>
    <t>AmpereHour</t>
  </si>
  <si>
    <t>安时值</t>
  </si>
  <si>
    <t>Ah</t>
  </si>
  <si>
    <t>TolActPowerReq</t>
  </si>
  <si>
    <t>当前总有功功率需量</t>
  </si>
  <si>
    <t>MaxTolActPowerReq</t>
  </si>
  <si>
    <t>总有功功率最大需量</t>
  </si>
  <si>
    <t>TolAptPowerDmd</t>
  </si>
  <si>
    <t>当前总视在功率需量</t>
  </si>
  <si>
    <t>TolAptPowerMaxDmd</t>
  </si>
  <si>
    <t>当前总视在功率最大需量</t>
  </si>
  <si>
    <t>ReqNeutralLine</t>
  </si>
  <si>
    <t>当前零线电流需量</t>
  </si>
  <si>
    <t>MAxReqNeutralLine</t>
  </si>
  <si>
    <t>零线电流最大需量</t>
  </si>
  <si>
    <t>TolNoPowerReq</t>
  </si>
  <si>
    <t>当前总无功功率需量</t>
  </si>
  <si>
    <t>MaxTolNoPowerReq</t>
  </si>
  <si>
    <t>总无功功率最大需量</t>
  </si>
  <si>
    <t>L12LineVoltage</t>
  </si>
  <si>
    <t>L1</t>
  </si>
  <si>
    <t>L23LineVoltage</t>
  </si>
  <si>
    <t>L2</t>
  </si>
  <si>
    <t>L31LineVoltage</t>
  </si>
  <si>
    <t>L3</t>
  </si>
  <si>
    <t>AvgPhaseLineVoltage</t>
  </si>
  <si>
    <t>三相线电压平均值</t>
  </si>
  <si>
    <t>NeutralCurrent</t>
  </si>
  <si>
    <t>零线电流</t>
  </si>
  <si>
    <t>L1VPhaseHarmonic</t>
  </si>
  <si>
    <t>L1相电压总谐波含有量</t>
  </si>
  <si>
    <t>L2VPhaseHarmonic</t>
  </si>
  <si>
    <t>L2相电压总谐波含有量</t>
  </si>
  <si>
    <t>L3VPhaseHarmonic</t>
  </si>
  <si>
    <t>L3相电压总谐波含有量</t>
  </si>
  <si>
    <t>L1IPhaseHarmonic</t>
  </si>
  <si>
    <t>L1电流总谐波含有量</t>
  </si>
  <si>
    <t>L2IPhaseHarmonic</t>
  </si>
  <si>
    <t>L2电流总谐波含有量</t>
  </si>
  <si>
    <t>L3IPhaseHarmonic</t>
  </si>
  <si>
    <t>L3电流总谐波含有量</t>
  </si>
  <si>
    <t>AvgVPhaseHarmonic</t>
  </si>
  <si>
    <t>三相相电压总谐波含有量平均值</t>
  </si>
  <si>
    <t>AvgIPhaseHarmonic</t>
  </si>
  <si>
    <t>三相电流总谐波含有量平均值</t>
  </si>
  <si>
    <t>AvglVCAngle</t>
  </si>
  <si>
    <t>三相总电压电流夹角</t>
  </si>
  <si>
    <t>CurrenL1Req</t>
  </si>
  <si>
    <t>当前L1电流需量</t>
  </si>
  <si>
    <t>CurrenL2Req</t>
  </si>
  <si>
    <t>当前L2电流需量</t>
  </si>
  <si>
    <t>CurrenL3Req</t>
  </si>
  <si>
    <t>当前L3电流需量</t>
  </si>
  <si>
    <t>L1MaxCurrentReq</t>
  </si>
  <si>
    <t>L1电流最大需量</t>
  </si>
  <si>
    <t>L2MaxCurrentReq</t>
  </si>
  <si>
    <t>L2电流最大需量</t>
  </si>
  <si>
    <t>L3MaxCurrentReq</t>
  </si>
  <si>
    <t>L3电流最大需量</t>
  </si>
  <si>
    <t>HarmonicL12LineV</t>
  </si>
  <si>
    <t>HarmonicL23LineV</t>
  </si>
  <si>
    <t>HarmonicL31LineV</t>
  </si>
  <si>
    <t>AvgHarmonicContent</t>
  </si>
  <si>
    <t>三相线电压总谐波含有量平均值</t>
  </si>
  <si>
    <t>TolActiveEnergy</t>
  </si>
  <si>
    <t>总有功电量</t>
  </si>
  <si>
    <t>TolReactiveEnergy</t>
  </si>
  <si>
    <t>总无功电量</t>
  </si>
  <si>
    <t>L1PosActiveEnergy</t>
  </si>
  <si>
    <t>L1正向有功电量</t>
  </si>
  <si>
    <t>L2PosActiveEnergy</t>
  </si>
  <si>
    <t>L2正向有功电量</t>
  </si>
  <si>
    <t>L3PosActiveEnergy</t>
  </si>
  <si>
    <t>L3正向有功电量</t>
  </si>
  <si>
    <t>L1InverseEnergy</t>
  </si>
  <si>
    <t>L1反向有功电量</t>
  </si>
  <si>
    <t>L2InverseEnergy</t>
  </si>
  <si>
    <t>L2反向有功电量</t>
  </si>
  <si>
    <t>L3InverseEnergy</t>
  </si>
  <si>
    <t>L3反向有功电量</t>
  </si>
  <si>
    <t>L1TolActiveEnergy</t>
  </si>
  <si>
    <t>L1总有功电量</t>
  </si>
  <si>
    <t>L2TolActiveEnergy</t>
  </si>
  <si>
    <t>L2总有功电量</t>
  </si>
  <si>
    <t>L3TolActiveEnergy</t>
  </si>
  <si>
    <t>L3总有功电量</t>
  </si>
  <si>
    <t>L1PosEnergy</t>
  </si>
  <si>
    <t>L1正向无功电量</t>
  </si>
  <si>
    <t>kvarh</t>
  </si>
  <si>
    <t>L2PosEnergy</t>
  </si>
  <si>
    <t>L2正向无功电量</t>
  </si>
  <si>
    <t>L3PosEnergy</t>
  </si>
  <si>
    <t>L3正向无功电量</t>
  </si>
  <si>
    <t>L1RevEnergy</t>
  </si>
  <si>
    <t>L1反向无功电量</t>
  </si>
  <si>
    <t>L2RevEnergy</t>
  </si>
  <si>
    <t>L3RevEnergy</t>
  </si>
  <si>
    <t>L3反向无功电量</t>
  </si>
  <si>
    <t>L1TolRevPower</t>
  </si>
  <si>
    <t>L1总无功电量</t>
  </si>
  <si>
    <t>L2TolRevPower</t>
  </si>
  <si>
    <t>L2总无功电量</t>
  </si>
  <si>
    <t>L3TolRevPower</t>
  </si>
  <si>
    <t>L3总无功电量</t>
  </si>
  <si>
    <t>TimeoutFlag;</t>
  </si>
  <si>
    <t>在线状态</t>
  </si>
  <si>
    <t>0：离线；1：在线</t>
  </si>
  <si>
    <t>MeterType</t>
  </si>
  <si>
    <t>1:预留(电网侧); 2:辅电侧; 3:变压器侧; 4:STS柜侧</t>
  </si>
  <si>
    <t>STS信息数据 meter_idx从0开始</t>
  </si>
  <si>
    <t>TimeoutFlag</t>
  </si>
  <si>
    <t>超时状态</t>
  </si>
  <si>
    <t>标明具体数值代表什么超时状态</t>
  </si>
  <si>
    <t>DeviceType</t>
  </si>
  <si>
    <t>设备类型</t>
  </si>
  <si>
    <t>0X0200  组串机 inverter
0X0300  单相储能机 hybird
0X0400  微逆机MI microinverter
0X0500  低压三相储能机 phase3 hybird
0X0600  稿压三相储能机
         0600   三相稿压6-15kw
         0601   三相稿压20-50kw 
0X800  PCS
         0x0800
         0x0802:MPPT
         0x0803:STS</t>
  </si>
  <si>
    <t>MailAddress</t>
  </si>
  <si>
    <t>通讯地址</t>
  </si>
  <si>
    <t>CommunicationProtocolVer</t>
  </si>
  <si>
    <t>通讯协议版本</t>
  </si>
  <si>
    <t>uint32_t</t>
  </si>
  <si>
    <t>固件所遵从的本协议的版本，如 0x 0102 代表 1.2 版</t>
  </si>
  <si>
    <t>sn</t>
  </si>
  <si>
    <t>sn号</t>
  </si>
  <si>
    <t>const char*</t>
  </si>
  <si>
    <t>CtrlPanelFirmware2</t>
  </si>
  <si>
    <t>控制板固件版本</t>
  </si>
  <si>
    <t>CtrlPanelMainFirmware</t>
  </si>
  <si>
    <t>控制板固件版本主版本</t>
  </si>
  <si>
    <t>CtrlPanelVer</t>
  </si>
  <si>
    <t>控制板版本</t>
  </si>
  <si>
    <t>RatedPower</t>
  </si>
  <si>
    <t>额定功率</t>
  </si>
  <si>
    <t>StsOperatingMode</t>
  </si>
  <si>
    <t>STS运行模式</t>
  </si>
  <si>
    <t>0000 待机 standby
0001 自检 selfcheck
0002 正常 normal
0003 告警 alarm
0004 故障 fault</t>
  </si>
  <si>
    <t>GridVoltA</t>
  </si>
  <si>
    <t>电网电压A</t>
  </si>
  <si>
    <t>int16_t</t>
  </si>
  <si>
    <t>GridVoltB</t>
  </si>
  <si>
    <t>电网电压B</t>
  </si>
  <si>
    <t>GridVoltC</t>
  </si>
  <si>
    <t>电网电压C</t>
  </si>
  <si>
    <t>GridVoltAB</t>
  </si>
  <si>
    <t>电网电压AB</t>
  </si>
  <si>
    <t>GridVoltBC</t>
  </si>
  <si>
    <t>电网电压BC</t>
  </si>
  <si>
    <t>GridVoltAC</t>
  </si>
  <si>
    <t>电网电压AC</t>
  </si>
  <si>
    <t>GridCurrentA</t>
  </si>
  <si>
    <t>电网电流A</t>
  </si>
  <si>
    <t>GridCurrentB</t>
  </si>
  <si>
    <t>GridCurrentC</t>
  </si>
  <si>
    <t>电网电流C</t>
  </si>
  <si>
    <t>StsGridFrequency</t>
  </si>
  <si>
    <t>电网频率</t>
  </si>
  <si>
    <t>GeneratorVoltA</t>
  </si>
  <si>
    <t>发电机电压A</t>
  </si>
  <si>
    <t>GeneratorVoltB</t>
  </si>
  <si>
    <t>发电机电压B</t>
  </si>
  <si>
    <t>GeneratorVoltC</t>
  </si>
  <si>
    <t>发电机电压C</t>
  </si>
  <si>
    <t>GeneratorVoltAB</t>
  </si>
  <si>
    <t>发电机电压AB</t>
  </si>
  <si>
    <t>GeneratorVoltBC</t>
  </si>
  <si>
    <t>发电机电压BC</t>
  </si>
  <si>
    <t>GeneratorVoltAC</t>
  </si>
  <si>
    <t>发电机电压AC</t>
  </si>
  <si>
    <t>GeneratorCurrentA</t>
  </si>
  <si>
    <t>发电机电流A</t>
  </si>
  <si>
    <t>GeneratorCurrentB</t>
  </si>
  <si>
    <t>发电机电流B</t>
  </si>
  <si>
    <t>GeneratorCurrentC</t>
  </si>
  <si>
    <t>发电机电流C</t>
  </si>
  <si>
    <t>GeneratorFrequency</t>
  </si>
  <si>
    <t>发电机频率</t>
  </si>
  <si>
    <t>InverterVoltA</t>
  </si>
  <si>
    <t>逆变电压A</t>
  </si>
  <si>
    <t>InverterVoltB</t>
  </si>
  <si>
    <t>逆变电压B</t>
  </si>
  <si>
    <t>InverterVoltC</t>
  </si>
  <si>
    <t>逆变电压C</t>
  </si>
  <si>
    <t>InverterVoltAB</t>
  </si>
  <si>
    <t>逆变电压AB</t>
  </si>
  <si>
    <t>InverterVoltBC</t>
  </si>
  <si>
    <t>逆变电压BC</t>
  </si>
  <si>
    <t>InverterVoltAC</t>
  </si>
  <si>
    <t>逆变电压AC</t>
  </si>
  <si>
    <t>InverterFrequency</t>
  </si>
  <si>
    <t>逆变频率</t>
  </si>
  <si>
    <t>GridTotalPowerHigh16bit</t>
  </si>
  <si>
    <t>电网总功率高16位</t>
  </si>
  <si>
    <t>GridTotalPowerLow16bit</t>
  </si>
  <si>
    <t>电网总功率低16位</t>
  </si>
  <si>
    <t>GridTotalPower</t>
  </si>
  <si>
    <t>电网总功率</t>
  </si>
  <si>
    <t>GridPhaseAPowerHigh16bit</t>
  </si>
  <si>
    <t>电网A相功率高16位</t>
  </si>
  <si>
    <t>GridPhaseAPowerLow16bit</t>
  </si>
  <si>
    <t>电网A相功率低16位</t>
  </si>
  <si>
    <t>GridPhaseAPower</t>
  </si>
  <si>
    <t>电网A相功率</t>
  </si>
  <si>
    <t>GridPhaseBPowerHigh16bit</t>
  </si>
  <si>
    <t>电网B相功率高16位</t>
  </si>
  <si>
    <t>GridPhaseBPowerLow16bit</t>
  </si>
  <si>
    <t>电网B相功率低16位</t>
  </si>
  <si>
    <t>GridPhaseBPower</t>
  </si>
  <si>
    <t>电网B相功率</t>
  </si>
  <si>
    <t>GridPhaseCPowerHigh16bit</t>
  </si>
  <si>
    <t>电网C相功率高16位</t>
  </si>
  <si>
    <t>GridPhaseCPowerLow16bit</t>
  </si>
  <si>
    <t>电网C相功率低16位</t>
  </si>
  <si>
    <t>GridPhaseCPower</t>
  </si>
  <si>
    <t>电网C相功率</t>
  </si>
  <si>
    <t>GridTotalReactPowerHigh16bit</t>
  </si>
  <si>
    <t>电网总无功率高16位</t>
  </si>
  <si>
    <t>GridTotalReactPowerLow16bit</t>
  </si>
  <si>
    <t>电网总无功率低16位</t>
  </si>
  <si>
    <t>GridTotalReactPower</t>
  </si>
  <si>
    <t>电网总无功率</t>
  </si>
  <si>
    <t>GridPhaseAReactPowerHigh16bit</t>
  </si>
  <si>
    <t>电网A相无功功率高16位</t>
  </si>
  <si>
    <t>GridPhaseAReactPowerLow16bit</t>
  </si>
  <si>
    <t>电网A相无功功率低16位</t>
  </si>
  <si>
    <t>GridPhaseAReactPower</t>
  </si>
  <si>
    <t>电网A相无功功率</t>
  </si>
  <si>
    <t>GridPhaseBReactPowerHigh16bit</t>
  </si>
  <si>
    <t>电网B相无功功率高16位</t>
  </si>
  <si>
    <t>GridPhaseBReactPowerLow16bit</t>
  </si>
  <si>
    <t>电网B相无功功率低16位</t>
  </si>
  <si>
    <t>GridPhaseBReactPower</t>
  </si>
  <si>
    <t>电网B相无功功率</t>
  </si>
  <si>
    <t>GridPhaseCReactPowerHigh16bit</t>
  </si>
  <si>
    <t>电网C相无功功率高16位</t>
  </si>
  <si>
    <t>GridPhaseCReactPowerLow16bit</t>
  </si>
  <si>
    <t>电网C相无功功率低16位</t>
  </si>
  <si>
    <t>GridPhaseCReactPower</t>
  </si>
  <si>
    <t>电网C相无功功率</t>
  </si>
  <si>
    <t>GridDailySalesLow16Bit</t>
  </si>
  <si>
    <t>电网端日卖电量低16位</t>
  </si>
  <si>
    <t>GridDailySalesHigh16Bit</t>
  </si>
  <si>
    <t>GridDailySales</t>
  </si>
  <si>
    <t>电网端日卖电量</t>
  </si>
  <si>
    <t>GridDailyPowerPurchaseLow16Bit</t>
  </si>
  <si>
    <t>电网端日买电量低16位</t>
  </si>
  <si>
    <t>GridDailyPowerPurchaseHigh16Bit</t>
  </si>
  <si>
    <t>GridDailyPowerPurchase</t>
  </si>
  <si>
    <t>电网端日买电量</t>
  </si>
  <si>
    <t>GridTotalSalesLow16Bit</t>
  </si>
  <si>
    <t>电网端总卖电量低16位</t>
  </si>
  <si>
    <t>GridTotalSalesHigh16Bit</t>
  </si>
  <si>
    <t>GridTotalSales</t>
  </si>
  <si>
    <t>电网端总卖电量</t>
  </si>
  <si>
    <t>GridTotalPowerPurchaseLow16Bit</t>
  </si>
  <si>
    <t>电网端总买电量低16位</t>
  </si>
  <si>
    <t>GridTotalPowerPurchaseHigh16Bit</t>
  </si>
  <si>
    <t>GridTotalPowerPurchase</t>
  </si>
  <si>
    <t>电网端总买电量</t>
  </si>
  <si>
    <t>GeneratorTotalPowerHigh16bit</t>
  </si>
  <si>
    <t>发电机总功率高16位</t>
  </si>
  <si>
    <t>GeneratorTotalPowerLow16bit</t>
  </si>
  <si>
    <t>发电机总功率低16位</t>
  </si>
  <si>
    <t>GeneratorTotalPower</t>
  </si>
  <si>
    <t>发电机总功率</t>
  </si>
  <si>
    <t>GeneratorPhaseAPowerHigh16bit</t>
  </si>
  <si>
    <t>发电机A相功率高16位</t>
  </si>
  <si>
    <t>GeneratorPhaseAPowerLow16bit</t>
  </si>
  <si>
    <t>发电机A相功率低16位</t>
  </si>
  <si>
    <t>GeneratorPhaseAPower</t>
  </si>
  <si>
    <t>发电机A相功率</t>
  </si>
  <si>
    <t>GeneratorPhaseBPowerHigh16bit</t>
  </si>
  <si>
    <t>发电机B相功率高16位</t>
  </si>
  <si>
    <t>GeneratorPhaseBPowerLow16bit</t>
  </si>
  <si>
    <t>发电机B相功率低16位</t>
  </si>
  <si>
    <t>GeneratorPhaseBPower</t>
  </si>
  <si>
    <t>发电机B相功率</t>
  </si>
  <si>
    <t>GeneratorPhaseCPowerHigh16bit</t>
  </si>
  <si>
    <t>发电机C相功率高16位</t>
  </si>
  <si>
    <t>GeneratorPhaseCPowerLow16bit</t>
  </si>
  <si>
    <t>发电机C相功率低16位</t>
  </si>
  <si>
    <t>GeneratorPhaseCPower</t>
  </si>
  <si>
    <t>发电机C相功率</t>
  </si>
  <si>
    <t>GeneratorTotalReactPowerHigh16bit</t>
  </si>
  <si>
    <t>发电机总无功功率高16位</t>
  </si>
  <si>
    <t>GeneratorTotalReactPowerLow16bit</t>
  </si>
  <si>
    <t>发电机总无功功率低16位</t>
  </si>
  <si>
    <t>GeneratorTotalReactPower</t>
  </si>
  <si>
    <t>发电机总无功功率</t>
  </si>
  <si>
    <t>GeneratorPhaseAReactPowerHigh16bit</t>
  </si>
  <si>
    <t>发电机A相无功功率高16位</t>
  </si>
  <si>
    <t>GeneratorPhaseAReactPowerLow16bit</t>
  </si>
  <si>
    <t>发电机A相无功功率低16位</t>
  </si>
  <si>
    <t>GeneratorPhaseAReactPower</t>
  </si>
  <si>
    <t>发电机A相无功功率</t>
  </si>
  <si>
    <t>GeneratorPhaseBReactPowerHigh16bit</t>
  </si>
  <si>
    <t>发电机B相无功功率高16位</t>
  </si>
  <si>
    <t>GeneratorPhaseBReactPowerLow16bit</t>
  </si>
  <si>
    <t>发电机B相无功功率低16位</t>
  </si>
  <si>
    <t>GeneratorPhaseBReactPower</t>
  </si>
  <si>
    <t>发电机B相无功功率</t>
  </si>
  <si>
    <t>GeneratorPhaseCReactPowerHigh16bit</t>
  </si>
  <si>
    <t>发电机C相无功功率高16位</t>
  </si>
  <si>
    <t>GeneratorPhaseCReactPowerLow16bit</t>
  </si>
  <si>
    <t>发电机C相无功功率低16位</t>
  </si>
  <si>
    <t>GeneratorPhaseCReactPower</t>
  </si>
  <si>
    <t>发电机C相无功功率</t>
  </si>
  <si>
    <t>GeneratorDailySalesLow16Bit</t>
  </si>
  <si>
    <t>发电机端日卖电量低16位</t>
  </si>
  <si>
    <t>GeneratorDailySalesHigh16Bit</t>
  </si>
  <si>
    <t>GeneratorDailySales</t>
  </si>
  <si>
    <t>发电机端日卖电量</t>
  </si>
  <si>
    <t>GeneratorDailyPowerPurchaseLow16Bit</t>
  </si>
  <si>
    <t>发电机端日买电量低16位</t>
  </si>
  <si>
    <t>GeneratorDailyPowerPurchaseHigh16Bit</t>
  </si>
  <si>
    <t>GeneratorDailyPowerPurchase</t>
  </si>
  <si>
    <t>发电机端日买电量</t>
  </si>
  <si>
    <t>GeneratorTotalSalesLow16Bit</t>
  </si>
  <si>
    <t>发电机端总卖电量低16位</t>
  </si>
  <si>
    <t>GeneratorTotalSalesHigh16Bit</t>
  </si>
  <si>
    <t>GeneratorTotalSales</t>
  </si>
  <si>
    <t>发电机端总卖电量</t>
  </si>
  <si>
    <t>GeneratorTotalPowerPurchaseLow16Bit</t>
  </si>
  <si>
    <t>发电机端总买电量低16位</t>
  </si>
  <si>
    <t>GeneratorTotalPowerPurchaseHigh16Bit</t>
  </si>
  <si>
    <t>GeneratorTotalPowerPurchase</t>
  </si>
  <si>
    <t>发电机端总买电量</t>
  </si>
  <si>
    <t>Temperature1</t>
  </si>
  <si>
    <t>温度1</t>
  </si>
  <si>
    <t>1000代表0℃，1250代表25℃</t>
  </si>
  <si>
    <t>Temperature2</t>
  </si>
  <si>
    <t>温度2</t>
  </si>
  <si>
    <t>Temperature3</t>
  </si>
  <si>
    <t>温度3</t>
  </si>
  <si>
    <t>BreakerState</t>
  </si>
  <si>
    <t>断路器状态</t>
  </si>
  <si>
    <t>Bit0-4：MCCB1-5</t>
  </si>
  <si>
    <t>STSAlarm1</t>
  </si>
  <si>
    <t>告警信息第一字</t>
  </si>
  <si>
    <t>Bit0: reserved</t>
  </si>
  <si>
    <t>STSAlarm2</t>
  </si>
  <si>
    <t>告警信息第二字</t>
  </si>
  <si>
    <t>Bit0</t>
  </si>
  <si>
    <t>STSFault1</t>
  </si>
  <si>
    <t>故障信息第一字</t>
  </si>
  <si>
    <t>见故障信息编码表</t>
  </si>
  <si>
    <t>STSFault2</t>
  </si>
  <si>
    <t>故障信息第二字</t>
  </si>
  <si>
    <t>STSFault3</t>
  </si>
  <si>
    <t>故障信息第三字</t>
  </si>
  <si>
    <t>STSFault4</t>
  </si>
  <si>
    <t>故障信息第四字</t>
  </si>
  <si>
    <t>InternalFanReturnsADValue</t>
  </si>
  <si>
    <t>内部风扇返回AD值</t>
  </si>
  <si>
    <t>ExternalFanReturnsADValue</t>
  </si>
  <si>
    <t>外部风扇返回AD值</t>
  </si>
  <si>
    <t>TestStep</t>
  </si>
  <si>
    <t>测试模式步骤</t>
  </si>
  <si>
    <t>测试数据</t>
  </si>
  <si>
    <t>GridRelayStateHigh16Bit</t>
  </si>
  <si>
    <t>电网继电器状态高16位</t>
  </si>
  <si>
    <t>Bit0-4：R相
Bit5-9：S相
Bit10-14：T相
Bit15-19：N相
Bit20-31：RSD</t>
  </si>
  <si>
    <t>GridRelayStateLow16Bit</t>
  </si>
  <si>
    <t>电网继电器状态低16位</t>
  </si>
  <si>
    <t>GeneratorRelayStateHigh16Bit</t>
  </si>
  <si>
    <t>发电机继电器状态高16位</t>
  </si>
  <si>
    <t>GeneratorRelayStateLow16Bit</t>
  </si>
  <si>
    <t>发电机继电器状态低16位</t>
  </si>
  <si>
    <t>ParallelRealyStateHigh16Bit</t>
  </si>
  <si>
    <t>并联继电器状态高16位</t>
  </si>
  <si>
    <t>ParallelRealyStateLow16Bit</t>
  </si>
  <si>
    <t>并联继电器状态低16位</t>
  </si>
  <si>
    <t>GridRelayState</t>
  </si>
  <si>
    <t>电网继电器状态</t>
  </si>
  <si>
    <t xml:space="preserve">0：完全断开 1:R相闭合 2：RS相闭合 3：RST相闭合 4：RSTN相闭合 5：S相闭合 6：ST相闭合 7：STN相闭合 8：T相闭合 9：TN相闭合 10：N相闭合
</t>
  </si>
  <si>
    <t>标明具体数值代表继电器的什么状态</t>
  </si>
  <si>
    <t>GeneratorRelayState</t>
  </si>
  <si>
    <t>发电机继电器状态</t>
  </si>
  <si>
    <t>ParallelRelayState</t>
  </si>
  <si>
    <t>并联继电器状态</t>
  </si>
  <si>
    <t>STS电表和IO板卡 sts_idx 从0开始</t>
  </si>
  <si>
    <t>L2反向无功电量</t>
  </si>
  <si>
    <t>GridDisconnect</t>
  </si>
  <si>
    <t>电网脱扣</t>
  </si>
  <si>
    <t>GeneratorDisconnect</t>
  </si>
  <si>
    <t>柴发脱扣</t>
  </si>
  <si>
    <t>DO3Reserve</t>
  </si>
  <si>
    <t>DO3预留</t>
  </si>
  <si>
    <t>DO4Reserve</t>
  </si>
  <si>
    <t>DO4预留</t>
  </si>
  <si>
    <t>DO5Reserve</t>
  </si>
  <si>
    <t>DO5预留</t>
  </si>
  <si>
    <t>DO6Reserve</t>
  </si>
  <si>
    <t>DO6预留</t>
  </si>
  <si>
    <t>DO7Reserve</t>
  </si>
  <si>
    <t>DO7预留</t>
  </si>
  <si>
    <t>DO8Reserve</t>
  </si>
  <si>
    <t>DO8预留</t>
  </si>
  <si>
    <t>GridFeedback</t>
  </si>
  <si>
    <t>电网反馈</t>
  </si>
  <si>
    <t>0：闭合 1：断开</t>
  </si>
  <si>
    <t>标明字段的数值代表什么意义</t>
  </si>
  <si>
    <t>GeneratorFeedback</t>
  </si>
  <si>
    <t>0:触发 1：未触发</t>
  </si>
  <si>
    <t>DI4Reserve</t>
  </si>
  <si>
    <t>DI4预留</t>
  </si>
  <si>
    <t>DI5Reserve</t>
  </si>
  <si>
    <t>DI5预留</t>
  </si>
  <si>
    <t>DI6Reserve</t>
  </si>
  <si>
    <t>DI6预留</t>
  </si>
  <si>
    <t>DI7Reserve</t>
  </si>
  <si>
    <t>DI7预留</t>
  </si>
  <si>
    <t>DI8Reserve</t>
  </si>
  <si>
    <t>DI8预留</t>
  </si>
  <si>
    <t>LC信息 lc_idx 从0开始</t>
  </si>
  <si>
    <t>GirdConnectPcsCtrlMode</t>
  </si>
  <si>
    <t>并网模式-逆变器控制模式</t>
  </si>
  <si>
    <t>0：电网侧控制 1：电池侧控制</t>
  </si>
  <si>
    <t>MaximumChargePower</t>
  </si>
  <si>
    <t>电池最大充电功率</t>
  </si>
  <si>
    <t>int16</t>
  </si>
  <si>
    <t>MaximumDischargePower</t>
  </si>
  <si>
    <t>电池最大放电功率</t>
  </si>
  <si>
    <t>ConstPowerModeBatPowerSetting</t>
  </si>
  <si>
    <t>恒功率模式下电池功率设置</t>
  </si>
  <si>
    <t>PcsOutputTotalPowerUperLimit</t>
  </si>
  <si>
    <t>逆变器输出总功率上限</t>
  </si>
  <si>
    <t>PcsOutputTotalPowerLowerLimit</t>
  </si>
  <si>
    <t>逆变器输出总功率下限</t>
  </si>
  <si>
    <t>ConstPowerModeTotalActPowerSetting</t>
  </si>
  <si>
    <t>设置恒功率交流总有功功率</t>
  </si>
  <si>
    <t>ManualSwitchOfOperatingMode</t>
  </si>
  <si>
    <t>运行模式-手动切换并离网状态</t>
  </si>
  <si>
    <t>1：离网模式 0：并网模式</t>
  </si>
  <si>
    <t>OnOffGridSwitchSetting</t>
  </si>
  <si>
    <t>并离网切换模式</t>
  </si>
  <si>
    <t>0：无ATS手动模式 1：ATS自动模式 2：ATS手动模式</t>
  </si>
  <si>
    <t>OffGridModeBatShutdownSoc</t>
  </si>
  <si>
    <t>离网模式关机SOC</t>
  </si>
  <si>
    <t>OffGridModeBatStartSoc</t>
  </si>
  <si>
    <t>离网模式启动Soc</t>
  </si>
  <si>
    <t>GenShutdownSoc</t>
  </si>
  <si>
    <t>发电机关机soc</t>
  </si>
  <si>
    <t>离网参数页面</t>
  </si>
  <si>
    <t>网页和接口都没找到</t>
  </si>
  <si>
    <t>GenStartSoc</t>
  </si>
  <si>
    <t>发电机启动soc</t>
  </si>
  <si>
    <t>PvPowerUperLimit</t>
  </si>
  <si>
    <t>PV功率上限</t>
  </si>
  <si>
    <t>GeneratorCapacity</t>
  </si>
  <si>
    <t>发电机容量</t>
  </si>
  <si>
    <t>GeneratorOutputMinPower</t>
  </si>
  <si>
    <t>发电机最小出力功率</t>
  </si>
  <si>
    <t>ConstSocModeBatSocSetting</t>
  </si>
  <si>
    <t>恒Soc电池Soc设置</t>
  </si>
  <si>
    <t>GeneratorOutputMaxPower</t>
  </si>
  <si>
    <t>发电机最大出力功率</t>
  </si>
  <si>
    <t>GridConnectSwitchModeSetting</t>
  </si>
  <si>
    <t>总开关机设置</t>
  </si>
  <si>
    <t>0：关机 1：开机 2：重启</t>
  </si>
  <si>
    <t>OperatingMode</t>
  </si>
  <si>
    <t>工作模式</t>
  </si>
  <si>
    <t>BatCtrlMode</t>
  </si>
  <si>
    <t>电池侧控制</t>
  </si>
  <si>
    <t>0：恒压模式 1：恒流模式 2：恒功率模式 3：恒SOC模式</t>
  </si>
  <si>
    <t>标明具体数值代表什么意思</t>
  </si>
  <si>
    <t>GridPowerCtrlMode</t>
  </si>
  <si>
    <t>电网侧功率控制模式</t>
  </si>
  <si>
    <t>0:合相控制 1：分项控制</t>
  </si>
  <si>
    <t>OffGridModeBatShutdownVolt</t>
  </si>
  <si>
    <t>离网模式关机电压</t>
  </si>
  <si>
    <t>OffGridModeBatStartVolt</t>
  </si>
  <si>
    <t>离网模式启动电压</t>
  </si>
  <si>
    <t>ConstVoltModeVoltSetting</t>
  </si>
  <si>
    <t>恒压模式电压设置</t>
  </si>
  <si>
    <t>ConstCurrModeCurrSetting</t>
  </si>
  <si>
    <t>恒流模式电流设置</t>
  </si>
  <si>
    <t>ConstPowerModeAActPowerSetting</t>
  </si>
  <si>
    <t>设置恒功率交流A相有功功率</t>
  </si>
  <si>
    <t>ConstPowerModeBActPowerSetting</t>
  </si>
  <si>
    <t>设置恒功率交流B相有功功率</t>
  </si>
  <si>
    <t>ConstPowerModeCActPowerSetting</t>
  </si>
  <si>
    <t>设置恒功率交流C相有功功率</t>
  </si>
  <si>
    <t>WgraStart</t>
  </si>
  <si>
    <t>启动时的功率</t>
  </si>
  <si>
    <t>Wgra</t>
  </si>
  <si>
    <t>运行时的功率</t>
  </si>
  <si>
    <t>RemoteMode</t>
  </si>
  <si>
    <t>远程控制模式</t>
  </si>
  <si>
    <t>0：失能 1：使能</t>
  </si>
  <si>
    <t>CabinetState</t>
  </si>
  <si>
    <t>柜子状态</t>
  </si>
  <si>
    <t>PvState</t>
  </si>
  <si>
    <t>光伏状态</t>
  </si>
  <si>
    <t>0：静置1：充电2：放电</t>
  </si>
  <si>
    <t>储能柜在线状态</t>
  </si>
  <si>
    <t>PcsTotalNum</t>
  </si>
  <si>
    <t>液冷机组在线个数</t>
  </si>
  <si>
    <t>液冷机组总个数</t>
  </si>
  <si>
    <t>IOBoardOnlineNum</t>
  </si>
  <si>
    <t>GasDetectorOnlineNum</t>
  </si>
  <si>
    <t>可燃气体传感器当前个数</t>
  </si>
  <si>
    <t>GasDetectorTotalNum</t>
  </si>
  <si>
    <t>可燃气体传感器总个数</t>
  </si>
  <si>
    <t>MPPT在线个数</t>
  </si>
  <si>
    <t>储能状态:故障个数</t>
  </si>
  <si>
    <t>InterruptNum</t>
  </si>
  <si>
    <t>储能状态:通信中断个数</t>
  </si>
  <si>
    <t>PcsOutagesNum</t>
  </si>
  <si>
    <t>PCS停机个数</t>
  </si>
  <si>
    <t>PcsStandbyNum</t>
  </si>
  <si>
    <t>PCS待机个数</t>
  </si>
  <si>
    <t>PcsChargesNum</t>
  </si>
  <si>
    <t>PCS充电个数</t>
  </si>
  <si>
    <t>PcsDischargesNum</t>
  </si>
  <si>
    <t>PCS放电个数</t>
  </si>
  <si>
    <t>LcFireAlarm</t>
  </si>
  <si>
    <t>火灾报警</t>
  </si>
  <si>
    <t>1：火灾报警触发 0：火灾报警不触发</t>
  </si>
  <si>
    <t>标明具体数值代表什么报警状态</t>
  </si>
  <si>
    <t>PcsWorkState</t>
  </si>
  <si>
    <t>PCS工作状态</t>
  </si>
  <si>
    <t>0：并网 1：离网</t>
  </si>
  <si>
    <t>标明具体数值代表什么工作状态</t>
  </si>
  <si>
    <t>MpptWorkState</t>
  </si>
  <si>
    <t>MPPT工作状态</t>
  </si>
  <si>
    <t>0：待机 1：自检 2：正常3：告警4：故障</t>
  </si>
  <si>
    <t>BmsWorkState</t>
  </si>
  <si>
    <t>BMS工作状态</t>
  </si>
  <si>
    <t>0:静置 1:充电 2:放电</t>
  </si>
  <si>
    <t>AcWorkState</t>
  </si>
  <si>
    <t>液冷机组工作状态</t>
  </si>
  <si>
    <t>0x00停止
0x01制冷
0x02制热
0x03除湿
0x04送风
0x05单独加热模式
0x06单独除湿模式</t>
  </si>
  <si>
    <t>DehumiWorkState</t>
  </si>
  <si>
    <t>除湿机工作状态</t>
  </si>
  <si>
    <t>0：待机模式（富信）停止（共创）
1：除湿模式（富信）开启（共创）
2：强制模式（富信）
3：风机1运行（富信）
4：风机2运行（富信）
5：风机3运行（富信）
6：风机4运行（富信）
7：除湿模块运行（富信）
8：工程模式（富信）</t>
  </si>
  <si>
    <t>IOBoardWorkState</t>
  </si>
  <si>
    <t>IO板卡工作状态</t>
  </si>
  <si>
    <t>1: 手动控制模式  0：自动控制模式</t>
  </si>
  <si>
    <t>0:断开1:闭合</t>
  </si>
  <si>
    <t>QF2电池反馈</t>
  </si>
  <si>
    <t>InstalledPower</t>
  </si>
  <si>
    <t>装机功率</t>
  </si>
  <si>
    <t>InstalledCapacity</t>
  </si>
  <si>
    <t>装机容量</t>
  </si>
  <si>
    <t>cabinetNo</t>
  </si>
  <si>
    <t>储能柜编号</t>
  </si>
  <si>
    <t>CabinetAllowableMaxChargingPower</t>
  </si>
  <si>
    <t>柜允许最大充电功率</t>
  </si>
  <si>
    <t>int32</t>
  </si>
  <si>
    <t>看日志</t>
  </si>
  <si>
    <t>CabinetAllowableMaxDischargePower</t>
  </si>
  <si>
    <t>柜允许最大放电功率</t>
  </si>
  <si>
    <t>PcsTotalActPower</t>
  </si>
  <si>
    <t>逆变器总有功功率</t>
  </si>
  <si>
    <t>恒功率模式下电池功率设置值</t>
  </si>
  <si>
    <t>CabinetRealTotalPower</t>
  </si>
  <si>
    <t>柜实时总功率</t>
  </si>
  <si>
    <t>InsideAddedTotalVolt</t>
  </si>
  <si>
    <t>累加内总压</t>
  </si>
  <si>
    <t>AllowableChargingCurrent</t>
  </si>
  <si>
    <t>允许充电电流</t>
  </si>
  <si>
    <t>AllowableDischargeCurrent</t>
  </si>
  <si>
    <t>允许放电电流</t>
  </si>
  <si>
    <t>CabinetSoc</t>
  </si>
  <si>
    <t>柜SOC</t>
  </si>
  <si>
    <t>0：静置；1：充电；2：放电</t>
  </si>
  <si>
    <t>光伏功率</t>
  </si>
  <si>
    <t>CabinetShutdown</t>
  </si>
  <si>
    <t>PCS运行状态</t>
  </si>
  <si>
    <t>0：运行；1：停机</t>
  </si>
  <si>
    <t>CabinetParallel</t>
  </si>
  <si>
    <t>PCS并机模式</t>
  </si>
  <si>
    <t>0：不并机；1：并机</t>
  </si>
  <si>
    <t>AlarmStatus</t>
  </si>
  <si>
    <t>告警状态</t>
  </si>
  <si>
    <t>无意义</t>
  </si>
  <si>
    <t>标明具体数值代表什么告警状态</t>
  </si>
  <si>
    <t>CabinetSN[27]</t>
  </si>
  <si>
    <t>储能柜SN</t>
  </si>
  <si>
    <t>StationID[27]</t>
  </si>
  <si>
    <t>电站ID</t>
  </si>
  <si>
    <t>LcVersion[28]</t>
  </si>
  <si>
    <t>LC版本号</t>
  </si>
  <si>
    <t>ConfigdbVersion[38]</t>
  </si>
  <si>
    <t>配置数据库版本</t>
  </si>
  <si>
    <t>HistorydbVersion[39]</t>
  </si>
  <si>
    <t>历史数据库版本</t>
  </si>
  <si>
    <t>PCS信息 pcs_idx 从0开始</t>
  </si>
  <si>
    <t>ModbusAddr</t>
  </si>
  <si>
    <t>modbus地址</t>
  </si>
  <si>
    <t>Sn</t>
  </si>
  <si>
    <t>CommProtocolVer</t>
  </si>
  <si>
    <t>AssistantProVer</t>
  </si>
  <si>
    <t>控制板辅助单片机软件版本号</t>
  </si>
  <si>
    <t>BootloaderSoftVer</t>
  </si>
  <si>
    <t>控制板启动软件版本号</t>
  </si>
  <si>
    <t>AfciVer</t>
  </si>
  <si>
    <t>拉弧版本号</t>
  </si>
  <si>
    <t>AuxiliaryMcuVer</t>
  </si>
  <si>
    <t>辅助单片机软件版本号</t>
  </si>
  <si>
    <t>6012-1137</t>
  </si>
  <si>
    <t>CommVersion</t>
  </si>
  <si>
    <t>通讯版本</t>
  </si>
  <si>
    <t>8001-C01D</t>
  </si>
  <si>
    <t>在哪里修改</t>
  </si>
  <si>
    <t>SafetyType</t>
  </si>
  <si>
    <t>安规版本</t>
  </si>
  <si>
    <t>MpptNum</t>
  </si>
  <si>
    <t>MPPT路数</t>
  </si>
  <si>
    <t>GridPhase</t>
  </si>
  <si>
    <t>电网相数</t>
  </si>
  <si>
    <t>STSOnlineFlag</t>
  </si>
  <si>
    <t xml:space="preserve">STS在线标志位 </t>
  </si>
  <si>
    <t>0:离线,1:在线</t>
  </si>
  <si>
    <t>STSPowerLevel</t>
  </si>
  <si>
    <t xml:space="preserve">STS功率等级 </t>
  </si>
  <si>
    <t>0: 300K,1: 500K,2: 1MW</t>
  </si>
  <si>
    <t>STSDataVersion</t>
  </si>
  <si>
    <t>STS数据版本号</t>
  </si>
  <si>
    <t>SystemTime[0]</t>
  </si>
  <si>
    <t>系统时间</t>
  </si>
  <si>
    <t>液晶系统时间</t>
  </si>
  <si>
    <t>是指液晶系统时间吗，页面只有液晶系统时间</t>
  </si>
  <si>
    <t>SystemTime[1]</t>
  </si>
  <si>
    <t>SystemTime[2]</t>
  </si>
  <si>
    <t>SystemTime[3]</t>
  </si>
  <si>
    <t>SystemTime[4]</t>
  </si>
  <si>
    <t>SystemTime[5]</t>
  </si>
  <si>
    <t>RatedPowerLow16bit</t>
  </si>
  <si>
    <t>额定功率低字节</t>
  </si>
  <si>
    <t>就是RatedPower低16位</t>
  </si>
  <si>
    <t>页面无该字段</t>
  </si>
  <si>
    <t>RatedPowerHigh16bit</t>
  </si>
  <si>
    <t>额定功率高字节</t>
  </si>
  <si>
    <t>RatedPower高16位</t>
  </si>
  <si>
    <t>0：失能1：使能</t>
  </si>
  <si>
    <t>1：自动模式AtuoMode0：手动模式ManualMode</t>
  </si>
  <si>
    <t>并网模式-开关机设置</t>
  </si>
  <si>
    <t>0：关机1：开机2：重启</t>
  </si>
  <si>
    <t>网页可以找到PCS详情页</t>
  </si>
  <si>
    <t>GridConnectModeVoltType</t>
  </si>
  <si>
    <t>并网模式-电压类型</t>
  </si>
  <si>
    <t>0：电网侧控制1：电池侧控制</t>
  </si>
  <si>
    <t>0:合相控制1：分项控制</t>
  </si>
  <si>
    <t>KW</t>
  </si>
  <si>
    <t>OffGridModeOnOffModeSetting</t>
  </si>
  <si>
    <t>离网模式-开关机设置</t>
  </si>
  <si>
    <t>可以找到</t>
  </si>
  <si>
    <t>OffGridModeVoltType</t>
  </si>
  <si>
    <t>离网模式-电压类型</t>
  </si>
  <si>
    <t>OffGridModeCtrlMode</t>
  </si>
  <si>
    <t>离网模式-控制模式</t>
  </si>
  <si>
    <t>ThreePhaseBalanceVoltSetting</t>
  </si>
  <si>
    <t>三相平衡电压设置</t>
  </si>
  <si>
    <t>ThreePhaseBalanceFreqSetting</t>
  </si>
  <si>
    <t>三相平衡频率设置</t>
  </si>
  <si>
    <t>PhaseAVoltSetting</t>
  </si>
  <si>
    <t>逆变器A相电压设置</t>
  </si>
  <si>
    <t>PhaseBVoltSetting</t>
  </si>
  <si>
    <t>逆变器B相电压设置</t>
  </si>
  <si>
    <t>PhaseCVoltSetting</t>
  </si>
  <si>
    <t>逆变器C相电压设置</t>
  </si>
  <si>
    <t>并离网切换模式设置</t>
  </si>
  <si>
    <t>0：自动模式1：手动模式</t>
  </si>
  <si>
    <t>GridFaultModeSetting</t>
  </si>
  <si>
    <t>电网故障模式设置</t>
  </si>
  <si>
    <t>ReactPowerRegulationMethod</t>
  </si>
  <si>
    <t>无功调节方式</t>
  </si>
  <si>
    <t>ConstPowerModeTotalReactPower</t>
  </si>
  <si>
    <t>恒功率模式交流总无功功率</t>
  </si>
  <si>
    <t>ConstPowerModePhaseAReactPower</t>
  </si>
  <si>
    <t>恒功率模式交流A相无功功率</t>
  </si>
  <si>
    <t>ConstPowerModePhaseBReactPower</t>
  </si>
  <si>
    <t>恒功率模式交流B相无功功率</t>
  </si>
  <si>
    <t>ConstPowerModePhaseCReactPower</t>
  </si>
  <si>
    <t>恒功率模式交流C相无功功率</t>
  </si>
  <si>
    <t>BatType</t>
  </si>
  <si>
    <t>电池类型</t>
  </si>
  <si>
    <t>BatDischargeCurrLimit</t>
  </si>
  <si>
    <t>电池放电电流上限</t>
  </si>
  <si>
    <t>BatChargeCurrLimit</t>
  </si>
  <si>
    <t>电池充电电流上限</t>
  </si>
  <si>
    <t>BatVoltUpperLimit</t>
  </si>
  <si>
    <t>电池电压上限</t>
  </si>
  <si>
    <t>BatVoltLowerLimit</t>
  </si>
  <si>
    <t>电池电压下限</t>
  </si>
  <si>
    <t>SocUpperLimit</t>
  </si>
  <si>
    <t>SOC上限</t>
  </si>
  <si>
    <t>SocLowerLimit</t>
  </si>
  <si>
    <t>SOC下限</t>
  </si>
  <si>
    <t>PcsOutputPhaseAPowerUperLimit</t>
  </si>
  <si>
    <t>逆变器输出A相功率上限</t>
  </si>
  <si>
    <t>PcsOutputPhaseAPowerLowerLimit</t>
  </si>
  <si>
    <t>逆变器输出A相功率下限</t>
  </si>
  <si>
    <t>PcsOutputPhaseBPowerUperLimit</t>
  </si>
  <si>
    <t>逆变器输出B相功率上限</t>
  </si>
  <si>
    <t>PcsOutputPhaseBPowerLowerLimit</t>
  </si>
  <si>
    <t>逆变器输出B相功率下限</t>
  </si>
  <si>
    <t>PcsOutputPhaseCPowerUperLimit</t>
  </si>
  <si>
    <t>逆变器输出C相功率上限</t>
  </si>
  <si>
    <t>PcsOutputPhaseCPowerLowerLimit</t>
  </si>
  <si>
    <t>逆变器输出C相功率下限</t>
  </si>
  <si>
    <t>PvVoltCommand</t>
  </si>
  <si>
    <t>PV电压指令</t>
  </si>
  <si>
    <t>PvCurrentUperLimit</t>
  </si>
  <si>
    <t>PV电流上限</t>
  </si>
  <si>
    <t>LocalModeEnergyManagementSetting</t>
  </si>
  <si>
    <t>本地模式-能量管理设置</t>
  </si>
  <si>
    <t>BattCapacity</t>
  </si>
  <si>
    <t>电池容量</t>
  </si>
  <si>
    <t>参考日志</t>
  </si>
  <si>
    <t>网页无此字段</t>
  </si>
  <si>
    <t>离网模式电池启动电压</t>
  </si>
  <si>
    <t>离网模式电池启动Soc</t>
  </si>
  <si>
    <t>GridStandard</t>
  </si>
  <si>
    <t>电网标准</t>
  </si>
  <si>
    <t>GridSequence</t>
  </si>
  <si>
    <t>额定相序</t>
  </si>
  <si>
    <t xml:space="preserve"> 0:0/120/240 1:0/240/120</t>
  </si>
  <si>
    <t>RatedFrequency</t>
  </si>
  <si>
    <t xml:space="preserve">额定频率 </t>
  </si>
  <si>
    <t>0:50Hz,1:60Hz</t>
  </si>
  <si>
    <t>RatedGridVoltage</t>
  </si>
  <si>
    <t>额定电网电压</t>
  </si>
  <si>
    <t>0:127v1:230v</t>
  </si>
  <si>
    <t>启动时的功率上升时间</t>
  </si>
  <si>
    <t>s</t>
  </si>
  <si>
    <t>页面对应的是启动时的功率上升时间</t>
  </si>
  <si>
    <t>运行时的功率上升时间</t>
  </si>
  <si>
    <t>V10min</t>
  </si>
  <si>
    <t>十分钟过压点</t>
  </si>
  <si>
    <t>GridVoltRef</t>
  </si>
  <si>
    <t>参考电压</t>
  </si>
  <si>
    <t>DryContactFunctionSelect</t>
  </si>
  <si>
    <t>干接点功能选择</t>
  </si>
  <si>
    <t>EPO</t>
  </si>
  <si>
    <t>急停</t>
  </si>
  <si>
    <t>AntiIslanding</t>
  </si>
  <si>
    <t>孤岛模式</t>
  </si>
  <si>
    <t>Rcd</t>
  </si>
  <si>
    <t>RCD功能</t>
  </si>
  <si>
    <t>Iso</t>
  </si>
  <si>
    <t>ISO功能</t>
  </si>
  <si>
    <t>Afci</t>
  </si>
  <si>
    <t>拉弧功能</t>
  </si>
  <si>
    <t>FactoryOnOff</t>
  </si>
  <si>
    <t>强制关机</t>
  </si>
  <si>
    <t>Restart</t>
  </si>
  <si>
    <t>重启</t>
  </si>
  <si>
    <t>ProportionOfElecGenerated</t>
  </si>
  <si>
    <t>发电量比例</t>
  </si>
  <si>
    <t>SnStd</t>
  </si>
  <si>
    <t>序列号类型</t>
  </si>
  <si>
    <t>Switching_Time_Comp</t>
  </si>
  <si>
    <t>自动并离网切换时间补偿</t>
  </si>
  <si>
    <t>ms</t>
  </si>
  <si>
    <t>CheckTime</t>
  </si>
  <si>
    <t>自检时间</t>
  </si>
  <si>
    <t>AntiBackflowFunctionSwitch</t>
  </si>
  <si>
    <t>防逆流功能开关</t>
  </si>
  <si>
    <t>AntiBackflowMode</t>
  </si>
  <si>
    <t>并网条件下防逆流模式</t>
  </si>
  <si>
    <t>电表类型</t>
  </si>
  <si>
    <t>MaxSellPower</t>
  </si>
  <si>
    <t>最大卖电功率</t>
  </si>
  <si>
    <t>GridPowerLowLimit</t>
  </si>
  <si>
    <t>网侧功率下限</t>
  </si>
  <si>
    <t>AntiBackflowPower</t>
  </si>
  <si>
    <t>防逆流功率</t>
  </si>
  <si>
    <t>GenStopSoc</t>
  </si>
  <si>
    <t>发电机停止SOC</t>
  </si>
  <si>
    <t>GenStartupSoc</t>
  </si>
  <si>
    <t>发电机启动SOC</t>
  </si>
  <si>
    <t>GenStartupVolt</t>
  </si>
  <si>
    <t>发电机启动电压</t>
  </si>
  <si>
    <t>GenMaxTime</t>
  </si>
  <si>
    <t>发电机最长运行时间</t>
  </si>
  <si>
    <t>GenStopTime</t>
  </si>
  <si>
    <t>发电机停机时间</t>
  </si>
  <si>
    <t>CTPrimaryCurrent</t>
  </si>
  <si>
    <t>CT原边电流</t>
  </si>
  <si>
    <t>CTSecondaryCurrent</t>
  </si>
  <si>
    <t>CT副边电流</t>
  </si>
  <si>
    <t>mA</t>
  </si>
  <si>
    <t>SoftLimitPowerSetting</t>
  </si>
  <si>
    <t>软限制功率设置</t>
  </si>
  <si>
    <t>HardLimitPowerSetting</t>
  </si>
  <si>
    <t>硬限制功率设置</t>
  </si>
  <si>
    <t>HardLimitProtectionDelay</t>
  </si>
  <si>
    <t>硬限制保护延时</t>
  </si>
  <si>
    <t>MeterOfflinePowerSetting</t>
  </si>
  <si>
    <t>Meter离线时输出功率设置</t>
  </si>
  <si>
    <t>MeterOfflineDelay</t>
  </si>
  <si>
    <t>Meter离线超时</t>
  </si>
  <si>
    <t>GenStopVolt</t>
  </si>
  <si>
    <t>发电机停止电压</t>
  </si>
  <si>
    <t>发电机最大输出功率</t>
  </si>
  <si>
    <t>GridVolTUpLimValue1</t>
  </si>
  <si>
    <t>过压1阶</t>
  </si>
  <si>
    <t>GridVolTUpLimValue2</t>
  </si>
  <si>
    <t>过压2阶</t>
  </si>
  <si>
    <t>GridVolTUpLimValue3</t>
  </si>
  <si>
    <t>过压3阶</t>
  </si>
  <si>
    <t>GridVolTDnLimValue1</t>
  </si>
  <si>
    <t>欠压1阶</t>
  </si>
  <si>
    <t>GridVolTDnLimValue2</t>
  </si>
  <si>
    <t>欠压2阶</t>
  </si>
  <si>
    <t>GridVolTDnLimValue3</t>
  </si>
  <si>
    <t>欠压3阶</t>
  </si>
  <si>
    <t>GridFreUpLimValue1</t>
  </si>
  <si>
    <t>过频1阶</t>
  </si>
  <si>
    <t>GridFreUpLimValue2</t>
  </si>
  <si>
    <t>过频2阶</t>
  </si>
  <si>
    <t>GridFreUpLimValue3</t>
  </si>
  <si>
    <t>过频3阶</t>
  </si>
  <si>
    <t>GridFreDnLimValue1</t>
  </si>
  <si>
    <t>欠频1阶</t>
  </si>
  <si>
    <t>GridFreDnLimValue2</t>
  </si>
  <si>
    <t>欠频2阶</t>
  </si>
  <si>
    <t>GridFreDnLimValue3</t>
  </si>
  <si>
    <t>欠频3阶</t>
  </si>
  <si>
    <t>GridVolUpLimTime1</t>
  </si>
  <si>
    <t>过压1阶时间</t>
  </si>
  <si>
    <t>S</t>
  </si>
  <si>
    <t>GridVolUpLimTime2</t>
  </si>
  <si>
    <t>过压2阶时间</t>
  </si>
  <si>
    <t>GridVolDnLimTime1</t>
  </si>
  <si>
    <t>欠压1阶时间</t>
  </si>
  <si>
    <t>GridVolDnLimTime2</t>
  </si>
  <si>
    <t>欠压2阶时间</t>
  </si>
  <si>
    <t>GridFreUpLimTime1</t>
  </si>
  <si>
    <t>过频1阶时间</t>
  </si>
  <si>
    <t>GridFreUpLimTime2</t>
  </si>
  <si>
    <t>过频2阶时间</t>
  </si>
  <si>
    <t>GridFreDnLimTime1</t>
  </si>
  <si>
    <t>欠频1阶时间</t>
  </si>
  <si>
    <t>GridFreDnLimTime2</t>
  </si>
  <si>
    <t>欠频2阶时间</t>
  </si>
  <si>
    <t>GridVolUpLimReconnect</t>
  </si>
  <si>
    <t>重连电压上限</t>
  </si>
  <si>
    <t>GridVolDnLimReconnect</t>
  </si>
  <si>
    <t>重连电压下限</t>
  </si>
  <si>
    <t>GridFreUpLimReconnect</t>
  </si>
  <si>
    <t>重连频率上限</t>
  </si>
  <si>
    <t>GridFreDnLimReconnect</t>
  </si>
  <si>
    <t>重连频率下限</t>
  </si>
  <si>
    <t>GridVolUpLimStart</t>
  </si>
  <si>
    <t>启动电压上限</t>
  </si>
  <si>
    <t>GridVolDnLimStart</t>
  </si>
  <si>
    <t>启动电压下限</t>
  </si>
  <si>
    <t>GridFreUpLimStart</t>
  </si>
  <si>
    <t>启动频率上限</t>
  </si>
  <si>
    <t>GridFreDnLimStart</t>
  </si>
  <si>
    <t>启动频率下限</t>
  </si>
  <si>
    <t>ParallelFunction</t>
  </si>
  <si>
    <t>并联使能</t>
  </si>
  <si>
    <t>DcVoltage</t>
  </si>
  <si>
    <t>直流电压</t>
  </si>
  <si>
    <t>DcCurrent</t>
  </si>
  <si>
    <t>直流电流</t>
  </si>
  <si>
    <t>DcPowerLow16bit</t>
  </si>
  <si>
    <t>直流功率低16位</t>
  </si>
  <si>
    <t>DcPower的低16位</t>
  </si>
  <si>
    <t>网页、接口没有此字段</t>
  </si>
  <si>
    <t>DcPowerhHigh16bit</t>
  </si>
  <si>
    <t>直流功率高16位</t>
  </si>
  <si>
    <t>DcPower</t>
  </si>
  <si>
    <t>直流功率</t>
  </si>
  <si>
    <t>PcsPhaseAVolt</t>
  </si>
  <si>
    <t>逆变器A相电压</t>
  </si>
  <si>
    <t>PcsPhaseBVolt</t>
  </si>
  <si>
    <t>逆变器B相电压</t>
  </si>
  <si>
    <t>PcsPhaseCVolt</t>
  </si>
  <si>
    <t>逆变器C相电压</t>
  </si>
  <si>
    <t>GridPhaseAVolt</t>
  </si>
  <si>
    <t>电网A相电压</t>
  </si>
  <si>
    <t>GridPhaseBVolt</t>
  </si>
  <si>
    <t>电网B相电压</t>
  </si>
  <si>
    <t>GridPhaseCVolt</t>
  </si>
  <si>
    <t>电网C相电压</t>
  </si>
  <si>
    <t>PhaseAPhase</t>
  </si>
  <si>
    <t>A相相位</t>
  </si>
  <si>
    <t>PhaseBPhase</t>
  </si>
  <si>
    <t>B相相位</t>
  </si>
  <si>
    <t>PhaseCPhase</t>
  </si>
  <si>
    <t>C相相位</t>
  </si>
  <si>
    <t>GridPhaseACurrent</t>
  </si>
  <si>
    <t>电网A相电流</t>
  </si>
  <si>
    <t>GridPhaseBCurrent</t>
  </si>
  <si>
    <t>电网B相电流</t>
  </si>
  <si>
    <t>GridPhaseCCurrent</t>
  </si>
  <si>
    <t>电网C相电流</t>
  </si>
  <si>
    <t>GridFrequency</t>
  </si>
  <si>
    <t>GridPowerFactor</t>
  </si>
  <si>
    <t>电网功率因数</t>
  </si>
  <si>
    <t>PcsTotalActPowerLow16bit</t>
  </si>
  <si>
    <t>逆变器总有功功率低16位</t>
  </si>
  <si>
    <t>PcsTotalActPowerHigh16bit</t>
  </si>
  <si>
    <t>逆变器总有功功率高16位</t>
  </si>
  <si>
    <t>PcsPhaseAActPowerLow16bit</t>
  </si>
  <si>
    <t>逆变器A相有功功率低16位</t>
  </si>
  <si>
    <t>PcsPhaseAActPowerHigh16bit</t>
  </si>
  <si>
    <t>逆变器A相有功功率高16位</t>
  </si>
  <si>
    <t>PcsPhaseBActPowerLow16bit</t>
  </si>
  <si>
    <t>逆变器B相有功功率低16位</t>
  </si>
  <si>
    <t>PcsPhaseBActPowerHigh16bit</t>
  </si>
  <si>
    <t>逆变器B相有功功率高16位</t>
  </si>
  <si>
    <t>PcsPhaseCActPowerLow16bit</t>
  </si>
  <si>
    <t>逆变器C相有功功率低16位</t>
  </si>
  <si>
    <t>PcsPhaseCActPowerHigh16bit</t>
  </si>
  <si>
    <t>逆变器C相有功功率高16位</t>
  </si>
  <si>
    <t>PcsPhaseAActPower</t>
  </si>
  <si>
    <t>逆变器A相有功功率</t>
  </si>
  <si>
    <t>PcsPhaseBActPower</t>
  </si>
  <si>
    <t>逆变器B相有功功率</t>
  </si>
  <si>
    <t>PcsPhaseCActPower</t>
  </si>
  <si>
    <t>逆变器C相有功功率</t>
  </si>
  <si>
    <t>PcsTotalReactPowerLow16bit</t>
  </si>
  <si>
    <t>逆变器总无功功率低16位</t>
  </si>
  <si>
    <t>PcsTotalReactPowerHigh16bit</t>
  </si>
  <si>
    <t>逆变器总无功功率高16位</t>
  </si>
  <si>
    <t>PcsPhaseAReactPowerLow16bit</t>
  </si>
  <si>
    <t>逆变器A相无功功率低16位</t>
  </si>
  <si>
    <t>PcsPhaseAReactPowerHigh16bit</t>
  </si>
  <si>
    <t>逆变器A相无功功率高16位</t>
  </si>
  <si>
    <t>PcsPhaseBReactPowerLow16bit</t>
  </si>
  <si>
    <t>逆变器B相无功功率低16位</t>
  </si>
  <si>
    <t>PcsPhaseBReactPowerHigh16bit</t>
  </si>
  <si>
    <t>逆变器B相无功功率高16位</t>
  </si>
  <si>
    <t>PcsPhaseCReactPowerLow16bit</t>
  </si>
  <si>
    <t>逆变器C相无功功率低16位</t>
  </si>
  <si>
    <t>PcsTotalCReactPowerHigh16bit</t>
  </si>
  <si>
    <t>逆变器C相无功功率高16位</t>
  </si>
  <si>
    <t>PcsTotalReactPower</t>
  </si>
  <si>
    <t>逆变器总无功功率</t>
  </si>
  <si>
    <t>PcsPhaseAReactPower</t>
  </si>
  <si>
    <t>逆变器A相无功功率</t>
  </si>
  <si>
    <t>PcsPhaseBReactPower</t>
  </si>
  <si>
    <t>逆变器B相无功功率</t>
  </si>
  <si>
    <t>PcsPhaseCReactPower</t>
  </si>
  <si>
    <t>逆变器C相无功功率</t>
  </si>
  <si>
    <t>PVPower</t>
  </si>
  <si>
    <t>电池功率</t>
  </si>
  <si>
    <t>ACActiveTotalPower</t>
  </si>
  <si>
    <t>交流有功总功率</t>
  </si>
  <si>
    <t>ACReActiveTotalPower</t>
  </si>
  <si>
    <t>交流无功总功率</t>
  </si>
  <si>
    <t>Alarm1</t>
  </si>
  <si>
    <t>故障表见附件</t>
  </si>
  <si>
    <t>Alarm2</t>
  </si>
  <si>
    <t>Alarm3</t>
  </si>
  <si>
    <t>Alarm4</t>
  </si>
  <si>
    <t>Fault1</t>
  </si>
  <si>
    <t>Fault2</t>
  </si>
  <si>
    <t>Fault3</t>
  </si>
  <si>
    <t>Fault4</t>
  </si>
  <si>
    <t>ChargingState</t>
  </si>
  <si>
    <t>充电状态</t>
  </si>
  <si>
    <t>OperatingState</t>
  </si>
  <si>
    <t>运行状态</t>
  </si>
  <si>
    <t>0:待机1：自检2：运行3：告警4：故障</t>
  </si>
  <si>
    <t>InvRelay</t>
  </si>
  <si>
    <t>INV继电器 bit0</t>
  </si>
  <si>
    <t>GridRelay</t>
  </si>
  <si>
    <t>电网继电器 bit2</t>
  </si>
  <si>
    <t>GeneratorRelay</t>
  </si>
  <si>
    <t>发电机继电器 bit3</t>
  </si>
  <si>
    <t>GridSupplyRelay</t>
  </si>
  <si>
    <t>电网供电继电器 bit4</t>
  </si>
  <si>
    <t>DCRelay</t>
  </si>
  <si>
    <t>直流继电器 bit5</t>
  </si>
  <si>
    <t>DCSlowStartRelay</t>
  </si>
  <si>
    <t>直流缓起继电器 bit6</t>
  </si>
  <si>
    <t>DryContact1</t>
  </si>
  <si>
    <t>干接点1 bit7</t>
  </si>
  <si>
    <t>DryContact2</t>
  </si>
  <si>
    <t>干接点2 bit8</t>
  </si>
  <si>
    <t>NRelay</t>
  </si>
  <si>
    <t>N继电器 bit9</t>
  </si>
  <si>
    <t>PERelay</t>
  </si>
  <si>
    <t>PE继电器 bit10</t>
  </si>
  <si>
    <t>DailyChargedEnergy</t>
  </si>
  <si>
    <t>日充电量</t>
  </si>
  <si>
    <t>DailyDischargedEnergy</t>
  </si>
  <si>
    <t>日放电量</t>
  </si>
  <si>
    <t>CumulativeChargedEnergyLow16bit</t>
  </si>
  <si>
    <t>总充电量低16位</t>
  </si>
  <si>
    <t>CumulativeChargedEnergyHigh16bit</t>
  </si>
  <si>
    <t>总充电量高16位</t>
  </si>
  <si>
    <t>CumulativeDischargedEnergyLow16bit</t>
  </si>
  <si>
    <t>总放电量低16位</t>
  </si>
  <si>
    <t>CumulativeDischargedEnergyHigh16bit</t>
  </si>
  <si>
    <t>总放电量高16位</t>
  </si>
  <si>
    <t>CumulativeChargedEnergy</t>
  </si>
  <si>
    <t>总充电量</t>
  </si>
  <si>
    <t>CumulativeDischargedEnergy</t>
  </si>
  <si>
    <t>总放电量</t>
  </si>
  <si>
    <t>DailyPurchasedEnergy</t>
  </si>
  <si>
    <t>日买电量</t>
  </si>
  <si>
    <t>DailySelledEnergy</t>
  </si>
  <si>
    <t>日卖电量</t>
  </si>
  <si>
    <t>CumulativePurchasedEnergyLow16bit</t>
  </si>
  <si>
    <t>总买电量低16位</t>
  </si>
  <si>
    <t>CumulativePurchasedEnergyHigh16bit</t>
  </si>
  <si>
    <t>总买电量高16位</t>
  </si>
  <si>
    <t>CumulativeSelledEnergyLow16bit</t>
  </si>
  <si>
    <t>总卖电量低16位</t>
  </si>
  <si>
    <t>CumulativeSelledEnergyHigh16bit</t>
  </si>
  <si>
    <t>总卖电量高16位</t>
  </si>
  <si>
    <t>BatteryTemp</t>
  </si>
  <si>
    <t>电池温度</t>
  </si>
  <si>
    <t>CumulativePurchasedEnergy</t>
  </si>
  <si>
    <t>总买电量</t>
  </si>
  <si>
    <t>CumulativeSelledEnergy</t>
  </si>
  <si>
    <t>总卖电量</t>
  </si>
  <si>
    <t>PcsTemp1</t>
  </si>
  <si>
    <t>PcsTemp2</t>
  </si>
  <si>
    <t>DailyChargingTime</t>
  </si>
  <si>
    <t>日充电时间</t>
  </si>
  <si>
    <t>DailyDischargingTime</t>
  </si>
  <si>
    <t>日放电时间</t>
  </si>
  <si>
    <t>CumulativeChargingEnergyLow16bit</t>
  </si>
  <si>
    <t>总充电时间低16位</t>
  </si>
  <si>
    <t>CumulativeChargingEnergyHigh16bit</t>
  </si>
  <si>
    <t>总充电时间高16位</t>
  </si>
  <si>
    <t>CumulativeDischargingEnergyLow16bit</t>
  </si>
  <si>
    <t>总放电时间低16位</t>
  </si>
  <si>
    <t>CumulativeDischargingEnergyHigh16bit</t>
  </si>
  <si>
    <t>总放电时间高16位</t>
  </si>
  <si>
    <t>CumulativeChargedTime</t>
  </si>
  <si>
    <t>总充电时间</t>
  </si>
  <si>
    <t>CumulativeDischargedTime</t>
  </si>
  <si>
    <t>总放电时间</t>
  </si>
  <si>
    <t>PcsSysState</t>
  </si>
  <si>
    <t>pcs充放电状态</t>
  </si>
  <si>
    <t>LcdSystemTime[128]</t>
  </si>
  <si>
    <t>接口中只有ATSGeneratorVoltPhaseA，没有ATSGridVoltagePhaseA</t>
  </si>
  <si>
    <t>ATSGridVoltagePhaseA</t>
  </si>
  <si>
    <t>ATS电网A相电压</t>
  </si>
  <si>
    <t>ATSGridVoltagePhaseB</t>
  </si>
  <si>
    <t>ATS电网B相电压</t>
  </si>
  <si>
    <t>ATSGridVoltagePhaseC</t>
  </si>
  <si>
    <t>ATS电网C相电压</t>
  </si>
  <si>
    <t>MinParallelNumber</t>
  </si>
  <si>
    <t>最小并机数量</t>
  </si>
  <si>
    <t>MpptTimeoutflag</t>
  </si>
  <si>
    <t>MPPT在线标志位</t>
  </si>
  <si>
    <t>网页、接口没有此字段，只有TimeoutFlag</t>
  </si>
  <si>
    <t>BMS信息 bms_idx 从0开始</t>
  </si>
  <si>
    <t xml:space="preserve"> 累加内总压</t>
  </si>
  <si>
    <t>CombinedCurrent</t>
  </si>
  <si>
    <t xml:space="preserve"> 总电流</t>
  </si>
  <si>
    <t>Soc</t>
  </si>
  <si>
    <t xml:space="preserve"> SOC</t>
  </si>
  <si>
    <t>AmpereHourSoc</t>
  </si>
  <si>
    <t xml:space="preserve"> 安时SOC</t>
  </si>
  <si>
    <t>Soh</t>
  </si>
  <si>
    <t xml:space="preserve"> SOH</t>
  </si>
  <si>
    <t>Life</t>
  </si>
  <si>
    <t xml:space="preserve"> Life</t>
  </si>
  <si>
    <t xml:space="preserve"> 允许充电电流</t>
  </si>
  <si>
    <t xml:space="preserve"> 允许放电电流</t>
  </si>
  <si>
    <t xml:space="preserve"> 系统状态</t>
  </si>
  <si>
    <t>0:静置
1:充电
2:放电</t>
  </si>
  <si>
    <t>SystemSubstate</t>
  </si>
  <si>
    <t xml:space="preserve"> 系统子状态</t>
  </si>
  <si>
    <t>直接显示原始值</t>
  </si>
  <si>
    <t>RelayStatus</t>
  </si>
  <si>
    <t xml:space="preserve"> 继电器状态</t>
  </si>
  <si>
    <t>bit7-预留继电器（0：断开 1：闭合）
bit6-加热负继电器
bit5-加热正继电器
bit4-BMU继电器
bit3-预充继电器
bit2-充电继电器
bit1-放电继电器
bit0-总正继电器</t>
  </si>
  <si>
    <t>BatteryType</t>
  </si>
  <si>
    <t xml:space="preserve"> 电池类型</t>
  </si>
  <si>
    <t>0x0：待配置 0x1：EVE 100Ah 
0x2：EVE 20Ah 
0x3：EVE 280Ah
0x0c：REPT 280Ah</t>
  </si>
  <si>
    <t>BatSubdivision</t>
  </si>
  <si>
    <t xml:space="preserve"> bat总压</t>
  </si>
  <si>
    <t>FuseTotalVolt</t>
  </si>
  <si>
    <t xml:space="preserve"> fuse总压</t>
  </si>
  <si>
    <t>PcsTotalVolt</t>
  </si>
  <si>
    <t xml:space="preserve"> pcs总压</t>
  </si>
  <si>
    <t>TotalHeatingVolt</t>
  </si>
  <si>
    <t xml:space="preserve"> 加热总压</t>
  </si>
  <si>
    <t>ClusterPackNum</t>
  </si>
  <si>
    <t xml:space="preserve"> 簇内pack个数</t>
  </si>
  <si>
    <t>SinglePackTempCollectionNum</t>
  </si>
  <si>
    <t xml:space="preserve"> 单pack温度采集个数</t>
  </si>
  <si>
    <t>SinglePackVoltCollectionNum</t>
  </si>
  <si>
    <t xml:space="preserve"> 单pack电压采集个数</t>
  </si>
  <si>
    <t>MaxCellVolt</t>
  </si>
  <si>
    <t xml:space="preserve"> 最高电芯电压</t>
  </si>
  <si>
    <t>MaxVoltCellPackNo</t>
  </si>
  <si>
    <t xml:space="preserve"> 最高电压电芯所在pack号</t>
  </si>
  <si>
    <t>MaxVoltCellPosition</t>
  </si>
  <si>
    <t xml:space="preserve"> 最高电压电芯位置</t>
  </si>
  <si>
    <t>MinCellVolt</t>
  </si>
  <si>
    <t xml:space="preserve"> 最低电芯电压</t>
  </si>
  <si>
    <t>MinVoltCellPackNo</t>
  </si>
  <si>
    <t xml:space="preserve"> 最低电压电芯所在pack号</t>
  </si>
  <si>
    <t>MinVoltCellPosition</t>
  </si>
  <si>
    <t xml:space="preserve"> 最低电压电芯位置</t>
  </si>
  <si>
    <t>SystemVoltDifferential</t>
  </si>
  <si>
    <t xml:space="preserve"> 系统压差</t>
  </si>
  <si>
    <t>MaxPackVolt</t>
  </si>
  <si>
    <t xml:space="preserve"> 最高pack电压</t>
  </si>
  <si>
    <t>MaxVoltPackNo</t>
  </si>
  <si>
    <t xml:space="preserve"> 最高电压pack号</t>
  </si>
  <si>
    <t>MinPackVolt</t>
  </si>
  <si>
    <t xml:space="preserve"> 最低Pack电压</t>
  </si>
  <si>
    <t>MinVoltPackNo</t>
  </si>
  <si>
    <t xml:space="preserve"> 最低电压Pack号</t>
  </si>
  <si>
    <t>MaxCellTemp</t>
  </si>
  <si>
    <t xml:space="preserve"> 最高电芯温度</t>
  </si>
  <si>
    <t>℃</t>
  </si>
  <si>
    <t>MaxTempCellPackNo</t>
  </si>
  <si>
    <t xml:space="preserve"> 最高温度电芯所在Pack号</t>
  </si>
  <si>
    <t>MaxTempCellPosition</t>
  </si>
  <si>
    <t xml:space="preserve"> 最高温度电芯位置</t>
  </si>
  <si>
    <t>MinCellTemp</t>
  </si>
  <si>
    <t xml:space="preserve"> 最低电芯温度</t>
  </si>
  <si>
    <t>MinTempCellPackNo</t>
  </si>
  <si>
    <t>最低温度电芯所在Pack号</t>
  </si>
  <si>
    <t>MinTempCellPosition</t>
  </si>
  <si>
    <t xml:space="preserve"> 最低温度电芯位置</t>
  </si>
  <si>
    <t>SystemTempDifference</t>
  </si>
  <si>
    <t xml:space="preserve"> 系统温差</t>
  </si>
  <si>
    <t>PPosConnectorTemp</t>
  </si>
  <si>
    <t>P+连接器温度</t>
  </si>
  <si>
    <t>PNegConnectorTemp</t>
  </si>
  <si>
    <t>P-连接器温度</t>
  </si>
  <si>
    <t>BPosConnectorTemp</t>
  </si>
  <si>
    <t>B+连接器温度</t>
  </si>
  <si>
    <t>BNegConnectorTemp</t>
  </si>
  <si>
    <t>B-连接器温度</t>
  </si>
  <si>
    <t>PackPosConnectorMaxTemp</t>
  </si>
  <si>
    <t xml:space="preserve"> Pack正连接器最高温度</t>
  </si>
  <si>
    <t>MaxTempPosConnectorPackNo</t>
  </si>
  <si>
    <t xml:space="preserve"> 最高温度正连接器所在Pack号</t>
  </si>
  <si>
    <t>PackNegConnectorMaxTemp</t>
  </si>
  <si>
    <t xml:space="preserve"> Pack负连接器最高温度</t>
  </si>
  <si>
    <t>MaxTempNegConnectorPackNo</t>
  </si>
  <si>
    <t xml:space="preserve"> 最高温度负连接器所在Pack号</t>
  </si>
  <si>
    <t>PackPosConnectorMinTemp</t>
  </si>
  <si>
    <t xml:space="preserve"> Pack正连接器最低温度</t>
  </si>
  <si>
    <t>MinTempPosConnectorPackNo</t>
  </si>
  <si>
    <t xml:space="preserve"> 最低温度正连接器所在Pack号</t>
  </si>
  <si>
    <t>PackNegConnectorMinTemp</t>
  </si>
  <si>
    <t xml:space="preserve"> Pack负连接器最低温度</t>
  </si>
  <si>
    <t>MinTempNegConnectorPackNo</t>
  </si>
  <si>
    <t xml:space="preserve"> 最低温度负连接器所在Pack号</t>
  </si>
  <si>
    <t>PrechargeResistanceTemp</t>
  </si>
  <si>
    <t xml:space="preserve"> 预充电阻温度</t>
  </si>
  <si>
    <t>网页接口无此字段</t>
  </si>
  <si>
    <t>SoftwareVersion</t>
  </si>
  <si>
    <t>软件版本号</t>
  </si>
  <si>
    <t>uint8_t*</t>
  </si>
  <si>
    <t>HardwareVersion</t>
  </si>
  <si>
    <t>硬件版本号</t>
  </si>
  <si>
    <t>AccumulatedChargeCapacity</t>
  </si>
  <si>
    <t xml:space="preserve"> 累积充电电量</t>
  </si>
  <si>
    <t>CumulativeDischargeCapacity</t>
  </si>
  <si>
    <t xml:space="preserve"> 累积放电电量</t>
  </si>
  <si>
    <t>SystemInsulationValue</t>
  </si>
  <si>
    <t xml:space="preserve"> 系统绝缘值</t>
  </si>
  <si>
    <t>kΩ</t>
  </si>
  <si>
    <t>LeakagePositionVolt</t>
  </si>
  <si>
    <t xml:space="preserve"> 漏电位置电压</t>
  </si>
  <si>
    <t>NEndInsulationValueToGround</t>
  </si>
  <si>
    <t xml:space="preserve"> N端对地绝缘值</t>
  </si>
  <si>
    <t>PEndInsulationValueToGround</t>
  </si>
  <si>
    <t xml:space="preserve"> P端对地绝缘值</t>
  </si>
  <si>
    <t>ChargeCutOffVolt</t>
  </si>
  <si>
    <t xml:space="preserve"> 充电截止电压</t>
  </si>
  <si>
    <t>DischargeCutOffVolt</t>
  </si>
  <si>
    <t xml:space="preserve"> 放电截止电压</t>
  </si>
  <si>
    <t>ChargeProhibitedSign</t>
  </si>
  <si>
    <t xml:space="preserve"> 禁止充电标志</t>
  </si>
  <si>
    <t>0：允许充电 1：禁止充电</t>
  </si>
  <si>
    <t>DischargeProhibitedSign</t>
  </si>
  <si>
    <t xml:space="preserve"> 禁止放电标志</t>
  </si>
  <si>
    <t>0：允许放电 1：禁止放电</t>
  </si>
  <si>
    <t>RatedCapacity</t>
  </si>
  <si>
    <t xml:space="preserve"> 额定容量</t>
  </si>
  <si>
    <t>ActualCapacity</t>
  </si>
  <si>
    <t xml:space="preserve"> 实际容量</t>
  </si>
  <si>
    <t>ResidualCapacity</t>
  </si>
  <si>
    <t xml:space="preserve"> 剩余容量</t>
  </si>
  <si>
    <t>BmsSwitchControlState</t>
  </si>
  <si>
    <t xml:space="preserve"> BMS开关控制状态</t>
  </si>
  <si>
    <t>bit1：BMS脱扣状态（0：BMS未脱扣 1：BMS脱扣）
bit0：PCS停机状态（0：PCS未停机 1：PCS停机）</t>
  </si>
  <si>
    <t>FaultState</t>
  </si>
  <si>
    <t xml:space="preserve"> 故障状态</t>
  </si>
  <si>
    <t>Bit0：有无充电故障；Bit1：有无放电故障；</t>
  </si>
  <si>
    <t xml:space="preserve"> 告警信息1</t>
  </si>
  <si>
    <t>bit7：单体欠压告警
bit6：总压欠压告警
bit5：单体过压告警
bit4：总压过压告警
bit3：充电过温告警
bit2：放电过温告警
bit1：充电过流告警
bit0：放电过流告警</t>
  </si>
  <si>
    <t xml:space="preserve"> 告警信息2</t>
  </si>
  <si>
    <t>bit7：充电低温告警
bit6：放电低温告警
bit5：压差过大告警
bit4：温差过大告警
bit3：BMS动力连接器过温告警
bit2：BMU动力连接器过温告警
bit1：绝缘告警
bit0：供电电压异常告警</t>
  </si>
  <si>
    <t xml:space="preserve"> 告警信息3</t>
  </si>
  <si>
    <t>bit7：预留
bit6：预留
bit5：预留
bit4：预留
bit3：预留
bit2：BMU软件版本差异告警
bit1：LC通讯失败告警
bit0：PCS通讯失败告警</t>
  </si>
  <si>
    <t xml:space="preserve"> 告警信息4</t>
  </si>
  <si>
    <t>bit7：预留
bit6：预留
bit5：预留
bit4：预留
bit3：预留
bit2：预留
bit1：预留
bit0：预留</t>
  </si>
  <si>
    <t xml:space="preserve"> 故障信息1</t>
  </si>
  <si>
    <t>bit7：单体欠压保护
bit6：总压欠压保护
bit5：单体过压保护
bit4：总压过压保护
bit3：充电过温保护
bit2：放电过温保护
bit1：充电过流保护
bit0：放电过流保护</t>
  </si>
  <si>
    <t xml:space="preserve"> 故障信息2</t>
  </si>
  <si>
    <t>bit7：充电低温保护
bit6：放电低温保护
bit5：压差过大保护
bit4：温差过大保护
bit3：BMS动力连接器过温保护
bit2：BMU动力连接器过温保护
bit1：绝缘故障
bit0：供电电压异常保护</t>
  </si>
  <si>
    <t xml:space="preserve"> 故障信息3</t>
  </si>
  <si>
    <t>bit7：内总压采集故障
bit6：Fuse总压采集故障
bit5：PCS总压采集故障
bit4：加热总压采集故障
bit3：电芯电压采集断线
bit2：电芯温度采集断线
bit1：电流采集故障
bit0：电流模块故障</t>
  </si>
  <si>
    <t xml:space="preserve"> 故障信息4</t>
  </si>
  <si>
    <t>bit7：主正继电器粘连故障
bit6：充电继电器粘连故障
bit5：放电继电器粘连故障
bit4：预充继电器粘连故障
bit3：加热继电器粘连故障
bit2：EEPROM故障
bit1：RTC时钟故障
bit0：预充失败故障</t>
  </si>
  <si>
    <t>Fault5</t>
  </si>
  <si>
    <t xml:space="preserve"> 故障信息5</t>
  </si>
  <si>
    <t>bit7：主正继电器驱动失败故障
bit6：充电继电器驱动失败故障
bit5：放电继电器驱动失败故障
bit4：预充继电器驱动失败故障
bit3：加热继电器驱动失败故障
bit2：BMU个数异常故障
bit1：BMU通讯丢失故障
bit0：保险丝熔断故障</t>
  </si>
  <si>
    <t>Fault6</t>
  </si>
  <si>
    <t xml:space="preserve"> 故障信息6</t>
  </si>
  <si>
    <t>bit7：BMS地址重复故障
bit6：BMU地址重复故障
bit5：（预留）
bit4：BMS通讯丢失故障（BMS主从通讯）
bit3：极限保护
bit2：BMS动力插件温度采集断线
bit1：BMU动力插件温度采集断线
bit0：电芯异常故障</t>
  </si>
  <si>
    <t>Fault7</t>
  </si>
  <si>
    <t xml:space="preserve"> 故障信息7</t>
  </si>
  <si>
    <r>
      <rPr>
        <sz val="12"/>
        <color rgb="FF000000"/>
        <rFont val="华文中宋"/>
        <charset val="134"/>
      </rPr>
      <t xml:space="preserve">bit7：预留
bit6：预留
bit5：预留
bit4：预留
</t>
    </r>
    <r>
      <rPr>
        <sz val="12"/>
        <color rgb="FFFF0000"/>
        <rFont val="华文中宋"/>
        <charset val="134"/>
      </rPr>
      <t>bit3：LC控制BMS脱扣故障</t>
    </r>
    <r>
      <rPr>
        <sz val="12"/>
        <color rgb="FF000000"/>
        <rFont val="华文中宋"/>
        <charset val="134"/>
      </rPr>
      <t xml:space="preserve">
</t>
    </r>
    <r>
      <rPr>
        <sz val="12"/>
        <color rgb="FFFF0000"/>
        <rFont val="华文中宋"/>
        <charset val="134"/>
      </rPr>
      <t>bit2：BMS控制脱扣故障
bit1：BMS控制PCS停机故障</t>
    </r>
    <r>
      <rPr>
        <sz val="12"/>
        <color rgb="FF000000"/>
        <rFont val="华文中宋"/>
        <charset val="134"/>
      </rPr>
      <t xml:space="preserve">
bit0：绝缘自检成功（1）/绝缘自检中（0）</t>
    </r>
  </si>
  <si>
    <t>BmuFireAlarmMalfunction</t>
  </si>
  <si>
    <t xml:space="preserve"> BMU消防故障</t>
  </si>
  <si>
    <t>bit0:1#BMU消防故障
bit1:2#BMU消防故障
......
bit15:16#BMU消防故障</t>
  </si>
  <si>
    <t>BmuAFECommunicationFailure</t>
  </si>
  <si>
    <t xml:space="preserve"> BMU</t>
  </si>
  <si>
    <t>bit0:1#BMU AFE故障
bit1:2#BMU AFE故障
......
bit15:16#BMU AFE故障</t>
  </si>
  <si>
    <t>BmuFanMalfunction</t>
  </si>
  <si>
    <t xml:space="preserve"> BMU风扇故障</t>
  </si>
  <si>
    <t>bit0:1#BMU风扇故障
bit1:2#BMU风扇故障
......
bit15:16#BMU风扇故障</t>
  </si>
  <si>
    <t>BmuThermalRunaway</t>
  </si>
  <si>
    <t xml:space="preserve"> BMU热失控</t>
  </si>
  <si>
    <t>bit0:1#BMU热失控故障
bit1:2#BMU热失控故障
......
bit15:16#BMU热失控故障</t>
  </si>
  <si>
    <t xml:space="preserve"> 掉线0</t>
  </si>
  <si>
    <t>MPPT信息 mppt_idx 从0开始</t>
  </si>
  <si>
    <t>页面 接口无该字段</t>
  </si>
  <si>
    <t>Year</t>
  </si>
  <si>
    <t>Month</t>
  </si>
  <si>
    <t>Day</t>
  </si>
  <si>
    <t>Hour</t>
  </si>
  <si>
    <t>Minute</t>
  </si>
  <si>
    <t>Second</t>
  </si>
  <si>
    <t>SystemTime</t>
  </si>
  <si>
    <t>SystemTime12Byte</t>
  </si>
  <si>
    <t>系统时间第12字节</t>
  </si>
  <si>
    <t>年，月</t>
  </si>
  <si>
    <t>SystemTime34Byte</t>
  </si>
  <si>
    <t>系统时间第34字节</t>
  </si>
  <si>
    <t>日，时</t>
  </si>
  <si>
    <t>SystemTime56Byte</t>
  </si>
  <si>
    <t>系统时间第56字节</t>
  </si>
  <si>
    <t>分，秒</t>
  </si>
  <si>
    <t>PvMaxPower</t>
  </si>
  <si>
    <t>最大光伏功率</t>
  </si>
  <si>
    <t>MPPTMaxCurrent</t>
  </si>
  <si>
    <t>MPPT最大电流</t>
  </si>
  <si>
    <t>SwitchModeEnable</t>
  </si>
  <si>
    <t>开关机使能</t>
  </si>
  <si>
    <t>0：关机，1：开机 3：重启</t>
  </si>
  <si>
    <t>FactoryResetEnable</t>
  </si>
  <si>
    <t>恢复出厂设置使能</t>
  </si>
  <si>
    <t>0: disable 1: enable 3：Lockedinv</t>
  </si>
  <si>
    <t>SelfCheckTime</t>
  </si>
  <si>
    <t>RisoEnable</t>
  </si>
  <si>
    <t>riso使能</t>
  </si>
  <si>
    <t>0: disable 1: enable</t>
  </si>
  <si>
    <t>SolarAroFaultMode</t>
  </si>
  <si>
    <t>Solar</t>
  </si>
  <si>
    <t>0x00 关闭 Close，0x02 拉弧故障清零，逆变器收到02说明液晶下发清零标志了，然后自动变回01</t>
  </si>
  <si>
    <t>MpptOperatingMode</t>
  </si>
  <si>
    <t>MPPT运行模式</t>
  </si>
  <si>
    <t>0000 待机 standby
0001 自检 selfcheck
0002 正常 normal
0003 告警 alarm
0004 故障 fault
0005 停机</t>
  </si>
  <si>
    <t>OutputVolt</t>
  </si>
  <si>
    <t>输出电压</t>
  </si>
  <si>
    <t>OutputCurrent</t>
  </si>
  <si>
    <t>输出电流</t>
  </si>
  <si>
    <t>OutputPower</t>
  </si>
  <si>
    <t>输出功率</t>
  </si>
  <si>
    <t>PVTotalPower</t>
  </si>
  <si>
    <t>pv总功率</t>
  </si>
  <si>
    <t>DCVolt1</t>
  </si>
  <si>
    <t>直流电压1</t>
  </si>
  <si>
    <t>PV1</t>
  </si>
  <si>
    <t>DCCurrent1</t>
  </si>
  <si>
    <t>直流电流1</t>
  </si>
  <si>
    <t>DCPower1</t>
  </si>
  <si>
    <t>直流功率1</t>
  </si>
  <si>
    <t>DCVolt2</t>
  </si>
  <si>
    <t>直流电压2</t>
  </si>
  <si>
    <t>PV2</t>
  </si>
  <si>
    <t>DCCurrent2</t>
  </si>
  <si>
    <t>直流电流2</t>
  </si>
  <si>
    <t>DCPower2</t>
  </si>
  <si>
    <t>直流功率2</t>
  </si>
  <si>
    <t>DCVolt3</t>
  </si>
  <si>
    <t>直流电压3</t>
  </si>
  <si>
    <t>PV3</t>
  </si>
  <si>
    <t>DCCurrent3</t>
  </si>
  <si>
    <t>直流电流3</t>
  </si>
  <si>
    <t>DCPower3</t>
  </si>
  <si>
    <t>直流功率3</t>
  </si>
  <si>
    <t>DCVolt4</t>
  </si>
  <si>
    <t>直流电压4</t>
  </si>
  <si>
    <t>PV4</t>
  </si>
  <si>
    <t>DCCurrent4</t>
  </si>
  <si>
    <t>直流电流4</t>
  </si>
  <si>
    <t>DCPower4</t>
  </si>
  <si>
    <t>直流功率4</t>
  </si>
  <si>
    <t>DCVolt5</t>
  </si>
  <si>
    <t>直流电压5</t>
  </si>
  <si>
    <t>PV5</t>
  </si>
  <si>
    <t>DCCurrent5</t>
  </si>
  <si>
    <t>直流电流5</t>
  </si>
  <si>
    <t>DCPower5</t>
  </si>
  <si>
    <t>直流功率5</t>
  </si>
  <si>
    <t>DCVolt6</t>
  </si>
  <si>
    <t>直流电压6</t>
  </si>
  <si>
    <t>PV6</t>
  </si>
  <si>
    <t>DCCurrent6</t>
  </si>
  <si>
    <t>直流电流6</t>
  </si>
  <si>
    <t>DCPower6</t>
  </si>
  <si>
    <t>直流功率6</t>
  </si>
  <si>
    <t>DCVolt7</t>
  </si>
  <si>
    <t>直流电压7</t>
  </si>
  <si>
    <t>PV7</t>
  </si>
  <si>
    <t>DCCurrent7</t>
  </si>
  <si>
    <t>直流电流7</t>
  </si>
  <si>
    <t>DCPower7</t>
  </si>
  <si>
    <t>直流功率7</t>
  </si>
  <si>
    <t>DCVolt8</t>
  </si>
  <si>
    <t>直流电压8</t>
  </si>
  <si>
    <t>PV8</t>
  </si>
  <si>
    <t>DCCurrent8</t>
  </si>
  <si>
    <t>直流电流8</t>
  </si>
  <si>
    <t>DCPower8</t>
  </si>
  <si>
    <t>直流功率8</t>
  </si>
  <si>
    <t>VoltageAfterRelay</t>
  </si>
  <si>
    <t>继电器后电压</t>
  </si>
  <si>
    <t>DailyPVGenerationCapacity1</t>
  </si>
  <si>
    <t>当日PV发电量1</t>
  </si>
  <si>
    <t>DailyPVGenerationCapacity2</t>
  </si>
  <si>
    <t>当日PV发电量2</t>
  </si>
  <si>
    <t>DailyPVGenerationCapacity3</t>
  </si>
  <si>
    <t>当日PV发电量3</t>
  </si>
  <si>
    <t>DailyPVGenerationCapacity4</t>
  </si>
  <si>
    <t>当日PV发电量4</t>
  </si>
  <si>
    <t>DailyPVGenerationCapacity5</t>
  </si>
  <si>
    <t>当日PV发电量5</t>
  </si>
  <si>
    <t>DailyPVGenerationCapacity6</t>
  </si>
  <si>
    <t>当日PV发电量6</t>
  </si>
  <si>
    <t>DailyPVGenerationCapacity7</t>
  </si>
  <si>
    <t>当日PV发电量7</t>
  </si>
  <si>
    <t>DailyPVGenerationCapacity8</t>
  </si>
  <si>
    <t>当日PV发电量8</t>
  </si>
  <si>
    <t>HistoryPvGenerationCapacityLow16Bit</t>
  </si>
  <si>
    <t>历史PV发电量低字</t>
  </si>
  <si>
    <t>低字节</t>
  </si>
  <si>
    <t>页面无该字段，是低字节还是低电量</t>
  </si>
  <si>
    <t>HistoryPvGenerationCapacityHigh16Bit</t>
  </si>
  <si>
    <t>历史PV发电量高字</t>
  </si>
  <si>
    <t>高字节</t>
  </si>
  <si>
    <t>页面无该字段，是高字节还是高电量</t>
  </si>
  <si>
    <t>HeatSinkTemp</t>
  </si>
  <si>
    <t>散热片温度</t>
  </si>
  <si>
    <t>MPPTAlarm1</t>
  </si>
  <si>
    <t>MPPTAlarm2</t>
  </si>
  <si>
    <t>MPPTFault1</t>
  </si>
  <si>
    <t>MPPTFault2</t>
  </si>
  <si>
    <t>MPPTFault3</t>
  </si>
  <si>
    <t>MPPTFault4</t>
  </si>
  <si>
    <t>TestData1</t>
  </si>
  <si>
    <t>测试数据1</t>
  </si>
  <si>
    <t>TestData2</t>
  </si>
  <si>
    <t>测试数据2</t>
  </si>
  <si>
    <t>TestData3</t>
  </si>
  <si>
    <t>测试数据3</t>
  </si>
  <si>
    <t>TestData4</t>
  </si>
  <si>
    <t>测试数据4</t>
  </si>
  <si>
    <t>TestData5</t>
  </si>
  <si>
    <t>测试数据5</t>
  </si>
  <si>
    <t>TestData6</t>
  </si>
  <si>
    <t>测试数据6</t>
  </si>
  <si>
    <t>TestData7</t>
  </si>
  <si>
    <t>测试数据7</t>
  </si>
  <si>
    <t>TestData8</t>
  </si>
  <si>
    <t>测试数据8</t>
  </si>
  <si>
    <t>TestData9</t>
  </si>
  <si>
    <t>测试数据9</t>
  </si>
  <si>
    <t>辅电电表数据 meter_idx从0开始</t>
  </si>
  <si>
    <t>空调数据 meter_idx从0开始</t>
  </si>
  <si>
    <t>AirSwVersion</t>
  </si>
  <si>
    <t>空调软件版本</t>
  </si>
  <si>
    <t>AirAllRunState</t>
  </si>
  <si>
    <t>空调整机运行状态</t>
  </si>
  <si>
    <t>需要说明 0 1等值的中文映射</t>
  </si>
  <si>
    <t>AirExterRunState</t>
  </si>
  <si>
    <t>空调外风机运行状态</t>
  </si>
  <si>
    <t>0 停止，1 开启;</t>
  </si>
  <si>
    <t>AirInterRunState</t>
  </si>
  <si>
    <t>空调内风机运行状态</t>
  </si>
  <si>
    <t>AirCompressRunState</t>
  </si>
  <si>
    <t>空调压缩机运行状态</t>
  </si>
  <si>
    <t>AirHeatRunState</t>
  </si>
  <si>
    <t>空调电加热运行状态</t>
  </si>
  <si>
    <t>AirOutTemp1</t>
  </si>
  <si>
    <t>空调室外环境温度1</t>
  </si>
  <si>
    <t>AirOutCoilTemp</t>
  </si>
  <si>
    <t>空调室外外盘管温度</t>
  </si>
  <si>
    <t>AirExhaustTemp</t>
  </si>
  <si>
    <t>空调排气温度</t>
  </si>
  <si>
    <t>AirInterTemp1</t>
  </si>
  <si>
    <t>空调内环境温度1</t>
  </si>
  <si>
    <t>AirInterTemp2</t>
  </si>
  <si>
    <t>空调内环境温度2</t>
  </si>
  <si>
    <t>AirInterRh1</t>
  </si>
  <si>
    <t>空调内环境湿度1</t>
  </si>
  <si>
    <t>%RH</t>
  </si>
  <si>
    <t>AirInterRh2</t>
  </si>
  <si>
    <t>空调内环境湿度2</t>
  </si>
  <si>
    <t>AirInterCoilTemp</t>
  </si>
  <si>
    <t>空调内盘管温度</t>
  </si>
  <si>
    <t>AirInputCurrent</t>
  </si>
  <si>
    <t>空调输入电流</t>
  </si>
  <si>
    <t>AirACVoltage</t>
  </si>
  <si>
    <t>空调交流电压</t>
  </si>
  <si>
    <t>AirBusVoltage</t>
  </si>
  <si>
    <t>空调母线电压</t>
  </si>
  <si>
    <t>AirCompressorCurrent</t>
  </si>
  <si>
    <t>空调压缩机电流</t>
  </si>
  <si>
    <t>AirExterFanSpeed</t>
  </si>
  <si>
    <t>空调外风机转速</t>
  </si>
  <si>
    <t>r/min</t>
  </si>
  <si>
    <t>AirInterFanSpeed</t>
  </si>
  <si>
    <t>空调内风机转速</t>
  </si>
  <si>
    <t>AirCompressorFre</t>
  </si>
  <si>
    <t>空调压缩机频率</t>
  </si>
  <si>
    <t>AirExpansionOpen</t>
  </si>
  <si>
    <t>空调膨胀阀开度</t>
  </si>
  <si>
    <t>AirExhaustPressure</t>
  </si>
  <si>
    <t>空调排气压力</t>
  </si>
  <si>
    <t>Kpa</t>
  </si>
  <si>
    <t>AirCoolPoint</t>
  </si>
  <si>
    <t>空调制冷点</t>
  </si>
  <si>
    <t>AirCoolPointDiff</t>
  </si>
  <si>
    <t>空调制冷点回差</t>
  </si>
  <si>
    <t>AirHeatPoint</t>
  </si>
  <si>
    <t>空调加热点</t>
  </si>
  <si>
    <t>AirHeatReturnDiff</t>
  </si>
  <si>
    <t>空调加热点回差</t>
  </si>
  <si>
    <t>AirRHDiffPoint</t>
  </si>
  <si>
    <t>空调除湿点</t>
  </si>
  <si>
    <t>AirRHPointDiffReturn</t>
  </si>
  <si>
    <t>空调除湿点回差</t>
  </si>
  <si>
    <t>AirhighTempPoint</t>
  </si>
  <si>
    <t>空调高温点</t>
  </si>
  <si>
    <t>AirLowTempPoint</t>
  </si>
  <si>
    <t>空调低温点</t>
  </si>
  <si>
    <t>AirHighRHPoint</t>
  </si>
  <si>
    <t>空调高湿点</t>
  </si>
  <si>
    <t>操作模式</t>
  </si>
  <si>
    <t>0：空调模式 1：电芯模式</t>
  </si>
  <si>
    <t>CellTemperature</t>
  </si>
  <si>
    <t>电芯温度</t>
  </si>
  <si>
    <t>CellCoolPoint</t>
  </si>
  <si>
    <t>电芯制冷点</t>
  </si>
  <si>
    <t>CellCoolPointDiff</t>
  </si>
  <si>
    <t>电芯制冷点回差</t>
  </si>
  <si>
    <t>CellHeatPoint</t>
  </si>
  <si>
    <t>电芯加热点</t>
  </si>
  <si>
    <t>CellHeatReturnDiff</t>
  </si>
  <si>
    <t>电芯加热点回差</t>
  </si>
  <si>
    <t>SpecificPattern</t>
  </si>
  <si>
    <t>空调特定控制模式</t>
  </si>
  <si>
    <t>0正常模式1单独加热模式 2单独除湿模式 ;</t>
  </si>
  <si>
    <t>Reserve</t>
  </si>
  <si>
    <t>保留</t>
  </si>
  <si>
    <t>AirMonitorSwitch</t>
  </si>
  <si>
    <t>监控开关机</t>
  </si>
  <si>
    <t>0：关机；1：开机;</t>
  </si>
  <si>
    <t>AirHighTempAlarm</t>
  </si>
  <si>
    <t>高温告警</t>
  </si>
  <si>
    <t>AirLowTempAlarm</t>
  </si>
  <si>
    <t>低温故障</t>
  </si>
  <si>
    <t>AirHighRHAlarm</t>
  </si>
  <si>
    <t>高湿告警</t>
  </si>
  <si>
    <t>AirLowRHAlarm</t>
  </si>
  <si>
    <t>低湿告警</t>
  </si>
  <si>
    <t>AirElectricHeatAlarm</t>
  </si>
  <si>
    <t>电加热保护告警</t>
  </si>
  <si>
    <t>AirOutTempAlarm</t>
  </si>
  <si>
    <t>室外环境温度故障</t>
  </si>
  <si>
    <t>AirOutCoilTempAlarm</t>
  </si>
  <si>
    <t>外盘管温度故障</t>
  </si>
  <si>
    <t>AirExhaustTempAlarm</t>
  </si>
  <si>
    <t>排气温度故障</t>
  </si>
  <si>
    <t>AirInterTemp1Alarm</t>
  </si>
  <si>
    <t>内环境温度1告警</t>
  </si>
  <si>
    <t>AirInterTemp2Alarm</t>
  </si>
  <si>
    <t>内环境温度2告警</t>
  </si>
  <si>
    <t>AirInterRH1Alarm</t>
  </si>
  <si>
    <t>内环境湿度1告警</t>
  </si>
  <si>
    <t>AirInterRH2Alarm</t>
  </si>
  <si>
    <t>内环境湿度2告警</t>
  </si>
  <si>
    <t>AirTempInterCoilAlarm</t>
  </si>
  <si>
    <t>内盘管温度故障</t>
  </si>
  <si>
    <t>AirPressureAlarm</t>
  </si>
  <si>
    <t>压力传感器故障</t>
  </si>
  <si>
    <t>AirExhaustHighTempAlarm</t>
  </si>
  <si>
    <t>排气温度过高故障</t>
  </si>
  <si>
    <t>AirInCoilTempAlarm</t>
  </si>
  <si>
    <t>外盘管温度保护</t>
  </si>
  <si>
    <t>AirInterCoilTempAlarm</t>
  </si>
  <si>
    <t>内盘管温度保护</t>
  </si>
  <si>
    <t>AirInterFanAlarm</t>
  </si>
  <si>
    <t>内风机告警</t>
  </si>
  <si>
    <t>AirInterCommFanAlarm</t>
  </si>
  <si>
    <t>内风机通讯告警</t>
  </si>
  <si>
    <t>AirInternalFanLoadAlarm</t>
  </si>
  <si>
    <t>内风机过载告警</t>
  </si>
  <si>
    <t>AirExternalfanAlarm</t>
  </si>
  <si>
    <t>外风机告警</t>
  </si>
  <si>
    <t>AirExterFanCommAlarm</t>
  </si>
  <si>
    <t>外风机通讯告警</t>
  </si>
  <si>
    <t>AirExterFanLoadAlarm</t>
  </si>
  <si>
    <t>外风机过载告警</t>
  </si>
  <si>
    <t>AirCompressorStartAlarm</t>
  </si>
  <si>
    <t>压缩机启动故障</t>
  </si>
  <si>
    <t>AirCompressorCommAlarm</t>
  </si>
  <si>
    <t>压缩机通讯故障</t>
  </si>
  <si>
    <t>AirHighPressureFault</t>
  </si>
  <si>
    <t>高压压力过高保护</t>
  </si>
  <si>
    <t>AirInterTemp12Fault</t>
  </si>
  <si>
    <t>室内温度传感器1，2故障</t>
  </si>
  <si>
    <t>AirInterRh12Fault</t>
  </si>
  <si>
    <t>室内湿度传感器1，2故障</t>
  </si>
  <si>
    <t>AirWaterSwitchFault</t>
  </si>
  <si>
    <t>水位开关保护故障</t>
  </si>
  <si>
    <t>AirLowSwitchFault</t>
  </si>
  <si>
    <t>低压开关保护</t>
  </si>
  <si>
    <t>AirFaultLevel</t>
  </si>
  <si>
    <t>空调故障等级</t>
  </si>
  <si>
    <t>在线标志位</t>
  </si>
  <si>
    <t>1在线，0掉线</t>
  </si>
  <si>
    <t>lc动环控制器信息 env_idx 从0开始</t>
  </si>
  <si>
    <t>0：未按下；1：按下</t>
  </si>
  <si>
    <t>0：闭合；1：断开</t>
  </si>
  <si>
    <t>QF2BatFeedback</t>
  </si>
  <si>
    <t>WaterSensor</t>
  </si>
  <si>
    <t>水浸反馈</t>
  </si>
  <si>
    <t>0：未告警；1：告警</t>
  </si>
  <si>
    <t>AerosolSensor</t>
  </si>
  <si>
    <t>电池舱气溶胶反馈</t>
  </si>
  <si>
    <t>BmsAccessControl</t>
  </si>
  <si>
    <t>电池舱门禁</t>
  </si>
  <si>
    <t>0：关门；1：开门</t>
  </si>
  <si>
    <t>GasLowAlarm</t>
  </si>
  <si>
    <t>气体低报</t>
  </si>
  <si>
    <t>GasHighAlarm</t>
  </si>
  <si>
    <t>气体高报</t>
  </si>
  <si>
    <t>eAerosolSensor</t>
  </si>
  <si>
    <t>电气舱气溶胶反馈</t>
  </si>
  <si>
    <t>ElecAccessControl</t>
  </si>
  <si>
    <t>电气舱门禁</t>
  </si>
  <si>
    <t>Reserve2</t>
  </si>
  <si>
    <t>预留</t>
  </si>
  <si>
    <t>TempSensor</t>
  </si>
  <si>
    <t>温感反馈</t>
  </si>
  <si>
    <t>SmokeSensor</t>
  </si>
  <si>
    <t>烟感反馈</t>
  </si>
  <si>
    <t>QF1GridTripEnable</t>
  </si>
  <si>
    <t>QF1脱扣</t>
  </si>
  <si>
    <t>0：未脱扣 1：脱扣</t>
  </si>
  <si>
    <t>QF2BatTripEnable</t>
  </si>
  <si>
    <t>QF2脱扣</t>
  </si>
  <si>
    <t>Aerosol1</t>
  </si>
  <si>
    <t>气溶胶1</t>
  </si>
  <si>
    <t>RunLightTripEnable</t>
  </si>
  <si>
    <t>运行灯</t>
  </si>
  <si>
    <t>0：灯灭 1：灯亮</t>
  </si>
  <si>
    <t>FaultLightTripEnable</t>
  </si>
  <si>
    <t>告警灯</t>
  </si>
  <si>
    <t>FanStartStop</t>
  </si>
  <si>
    <t>排气扇</t>
  </si>
  <si>
    <t>0：停止 1：运行</t>
  </si>
  <si>
    <t>AcoustoOptic</t>
  </si>
  <si>
    <t>声光</t>
  </si>
  <si>
    <t>1:手动控制模式  0:自动控制模式</t>
  </si>
  <si>
    <t>di1Reserve</t>
  </si>
  <si>
    <t>DI1预留</t>
  </si>
  <si>
    <t>di2Reserve</t>
  </si>
  <si>
    <t>DI2预留</t>
  </si>
  <si>
    <t>di3OpticalAndAcousticInput</t>
  </si>
  <si>
    <t>DI3声光输入</t>
  </si>
  <si>
    <t>di4AerosolInput</t>
  </si>
  <si>
    <t>DI4气溶胶输入</t>
  </si>
  <si>
    <t>di5EmergencyStopInput</t>
  </si>
  <si>
    <t>DI5急停信号输入</t>
  </si>
  <si>
    <t>di6ExhaustValve1Feedback</t>
  </si>
  <si>
    <t>DI61号排气阀反馈</t>
  </si>
  <si>
    <t>di7ExhaustValve2Feedback</t>
  </si>
  <si>
    <t>DI72号排气阀反馈</t>
  </si>
  <si>
    <t>di8IntakeValveState</t>
  </si>
  <si>
    <t>DI8进气阀反馈</t>
  </si>
  <si>
    <t>do1DieselGen</t>
  </si>
  <si>
    <t>DO1油机启停</t>
  </si>
  <si>
    <t>do2TemperatureSensitive</t>
  </si>
  <si>
    <t>DO2感温输出</t>
  </si>
  <si>
    <t>do3SmokeSensitive</t>
  </si>
  <si>
    <t>DO3感烟输出</t>
  </si>
  <si>
    <t>do4PcsFan</t>
  </si>
  <si>
    <t>DO4PCS风扇</t>
  </si>
  <si>
    <t>do5MPPTFan</t>
  </si>
  <si>
    <t>DO5MPPT风扇</t>
  </si>
  <si>
    <t>do6IntakeValveSwitch</t>
  </si>
  <si>
    <t>DO6排气阀开关</t>
  </si>
  <si>
    <t>1：关闭 0：开启</t>
  </si>
  <si>
    <t>do7Reserve</t>
  </si>
  <si>
    <t>do8Reserve</t>
  </si>
  <si>
    <t>ioControlMode</t>
  </si>
  <si>
    <t>扩展IO板卡DO控制模式</t>
  </si>
  <si>
    <t>timeoutFlag</t>
  </si>
  <si>
    <t>1:在线;0:离线</t>
  </si>
  <si>
    <t>遥信信息(功能码0x02)</t>
  </si>
  <si>
    <t>寄存器bit位</t>
  </si>
  <si>
    <t>遥测遥信信息</t>
  </si>
  <si>
    <t>寄存器地址（十进制）</t>
  </si>
  <si>
    <t>寄存器个数</t>
  </si>
  <si>
    <t>0-100</t>
  </si>
  <si>
    <t>SoC下限</t>
  </si>
  <si>
    <t>调度模式</t>
  </si>
  <si>
    <t>0：正常模式 1：电网调度</t>
  </si>
  <si>
    <t>ControlActivePower</t>
  </si>
  <si>
    <t>远程调度有功功率</t>
  </si>
  <si>
    <t>故障代码表</t>
  </si>
  <si>
    <t>英文名称</t>
  </si>
  <si>
    <t>中文名称</t>
  </si>
  <si>
    <t>对应字段名</t>
  </si>
  <si>
    <t>bit位(1：触发 0：不触发)</t>
  </si>
  <si>
    <t>DC_Inversed_Failure</t>
  </si>
  <si>
    <t>光伏输入反接故障1</t>
  </si>
  <si>
    <t>SlaveMCU_Fail</t>
  </si>
  <si>
    <t>辅助单片机故障2</t>
  </si>
  <si>
    <t>STS_Disconnected</t>
  </si>
  <si>
    <t>STS断线</t>
  </si>
  <si>
    <t>PARA_ID_DUP_WARNING</t>
  </si>
  <si>
    <t>并联ID冲突</t>
  </si>
  <si>
    <t>EEPROM_Read_Failure</t>
  </si>
  <si>
    <t>读写存储器错误5</t>
  </si>
  <si>
    <t>EEPROM_Write_Failure</t>
  </si>
  <si>
    <t>写存储器错误6</t>
  </si>
  <si>
    <t>HV_SS_Failure</t>
  </si>
  <si>
    <t>DCDC启动失败7</t>
  </si>
  <si>
    <t>Start_Failure</t>
  </si>
  <si>
    <t>逆变器启动故障8</t>
  </si>
  <si>
    <t>LC_Comm_Error</t>
  </si>
  <si>
    <t>LC通讯故障</t>
  </si>
  <si>
    <t>AuxPowerBoard_Failure</t>
  </si>
  <si>
    <t>辅助开关电源故障（辅助开关电源10</t>
  </si>
  <si>
    <t>AC_MainContactor_Failure</t>
  </si>
  <si>
    <t>交流主接触器错误11</t>
  </si>
  <si>
    <t>AC_SlaveContactor_Failure</t>
  </si>
  <si>
    <t>交流辅接触器错误12</t>
  </si>
  <si>
    <t>Reseverd</t>
  </si>
  <si>
    <t>预留13</t>
  </si>
  <si>
    <t>DC_OverCurr_Failure</t>
  </si>
  <si>
    <t>直流软件过流故障14</t>
  </si>
  <si>
    <t>AC_OverCurr_Failure</t>
  </si>
  <si>
    <t>交流软件过流故障15</t>
  </si>
  <si>
    <t>GFCI_Failure</t>
  </si>
  <si>
    <t>GFCI(RCD)交流漏电流故障16</t>
  </si>
  <si>
    <t>Tz_PV_OverCurr_Fault</t>
  </si>
  <si>
    <t>光伏硬件过流故障17</t>
  </si>
  <si>
    <t>Tz_Ac_OverCurr_Fault</t>
  </si>
  <si>
    <t>交流硬件过流故障18</t>
  </si>
  <si>
    <t>Tz_Integ_Fault</t>
  </si>
  <si>
    <t>硬件集成故障19</t>
  </si>
  <si>
    <t>Tz_Dc_OverCurr_Fault</t>
  </si>
  <si>
    <t>直流硬件过流故障20</t>
  </si>
  <si>
    <t>Tz_HV_OverCurr_Fault</t>
  </si>
  <si>
    <t>直流漏电流过流故障21</t>
  </si>
  <si>
    <t>Tz_EmergStop_Fault</t>
  </si>
  <si>
    <t>急停故障22</t>
  </si>
  <si>
    <t>Tz_GFCI_OC_Fault</t>
  </si>
  <si>
    <t>交流漏电流瞬间过流故障23</t>
  </si>
  <si>
    <t>DC_Insulation_Fault</t>
  </si>
  <si>
    <t>直流绝缘阻抗故障24</t>
  </si>
  <si>
    <t>DC_Feedback_Fault</t>
  </si>
  <si>
    <t>直流反灌故障25</t>
  </si>
  <si>
    <t>BusUnbalance_Fault</t>
  </si>
  <si>
    <t>直流母线不平衡故障26</t>
  </si>
  <si>
    <t>Tz_Balance_OverCurr_Fault</t>
  </si>
  <si>
    <t>平衡桥臂过流27</t>
  </si>
  <si>
    <t>DCIOver_M1_Fault</t>
  </si>
  <si>
    <t>逆变128</t>
  </si>
  <si>
    <t>AC_AirSwitch_Fault</t>
  </si>
  <si>
    <t>交流负荷开关故障29</t>
  </si>
  <si>
    <t>AC_MainContactor_Fault</t>
  </si>
  <si>
    <t>交流主接触器故障30</t>
  </si>
  <si>
    <t>AC_SlaveContactor_Fault</t>
  </si>
  <si>
    <t>交流辅接触器故障31</t>
  </si>
  <si>
    <t>DCIOver_M2_Fault</t>
  </si>
  <si>
    <t>逆变232</t>
  </si>
  <si>
    <t>AC_OverCurr_Fault</t>
  </si>
  <si>
    <t>交流电流过高（软件报出的交流电流过流故障，133</t>
  </si>
  <si>
    <t>AC_Overload_Fault</t>
  </si>
  <si>
    <t>交流过载34</t>
  </si>
  <si>
    <t>AC_NoUtility_Fault</t>
  </si>
  <si>
    <t>交流端无市电错误35</t>
  </si>
  <si>
    <t>AC_GridPhaseSeque_Fault</t>
  </si>
  <si>
    <t>交流电网相序错误36</t>
  </si>
  <si>
    <t>AC_Volt_Unbalance_Fault</t>
  </si>
  <si>
    <t>交流三相电压不平衡故障37</t>
  </si>
  <si>
    <t>AC_Curr_Unbalance_Fault</t>
  </si>
  <si>
    <t>交流三相电流不平衡故障38</t>
  </si>
  <si>
    <t>INT_AC_OverCurr_Fault</t>
  </si>
  <si>
    <t>交流过流故障（软件报出的过流故障，一个开关周期内报出)39</t>
  </si>
  <si>
    <t>INT_DC_OverCurr_Fault</t>
  </si>
  <si>
    <t>直流过流故障40</t>
  </si>
  <si>
    <t>AC_WU_OverVolt_Fault</t>
  </si>
  <si>
    <t>交流WU41</t>
  </si>
  <si>
    <t>AC_WU_UnderVolt_Fault</t>
  </si>
  <si>
    <t>交流WU42</t>
  </si>
  <si>
    <t>AC_VW_OverVolt_Fault</t>
  </si>
  <si>
    <t>交流VW43</t>
  </si>
  <si>
    <t>Mst_Disconnect</t>
  </si>
  <si>
    <t>离网丢失主机通讯</t>
  </si>
  <si>
    <t>AC_UV_OverVolt_Fault</t>
  </si>
  <si>
    <t>交流UV45</t>
  </si>
  <si>
    <t>STS_Fault</t>
  </si>
  <si>
    <t>STS模块报错</t>
  </si>
  <si>
    <t>AC_OverFreq_Fault</t>
  </si>
  <si>
    <t>交流频率过高故障47</t>
  </si>
  <si>
    <t>AC_UnderFreq_Fault</t>
  </si>
  <si>
    <t>交流频率过低故障48</t>
  </si>
  <si>
    <t>AC_U_GridCurr_DcHigh_Fault</t>
  </si>
  <si>
    <t>相并网电流直流分量高49</t>
  </si>
  <si>
    <t>Tz_BAT_OverCurr_Fault</t>
  </si>
  <si>
    <t>电池过流50</t>
  </si>
  <si>
    <t>Battery_Temp_High_Fault</t>
  </si>
  <si>
    <t>电池温度过高51</t>
  </si>
  <si>
    <t>BAT_OverVoltage_Fault</t>
  </si>
  <si>
    <t>电池电压过高52</t>
  </si>
  <si>
    <t>BAT_SS_RELAY_FAULT</t>
  </si>
  <si>
    <t>电池辅助继电器故障53</t>
  </si>
  <si>
    <t>BAT_RELAY_Fault</t>
  </si>
  <si>
    <t>电池主继电器故障54</t>
  </si>
  <si>
    <t>DC_VoltHigh_Fault</t>
  </si>
  <si>
    <t>直流母线电压过高故障55</t>
  </si>
  <si>
    <t>DC_VoltLow_Fault</t>
  </si>
  <si>
    <t>直流母线电压过低故障56</t>
  </si>
  <si>
    <t>AC_BackFeed_Fault</t>
  </si>
  <si>
    <t>交流反灌故障57</t>
  </si>
  <si>
    <t>Battery_comm_Lose</t>
  </si>
  <si>
    <t>BMS通讯故障58</t>
  </si>
  <si>
    <t>BAT_OverCurr_Fault</t>
  </si>
  <si>
    <t>电池过流故障59</t>
  </si>
  <si>
    <t>GEN_Fault</t>
  </si>
  <si>
    <t>交流电网W电流过流故障60</t>
  </si>
  <si>
    <t>INVERTER_MANUAL_OFF</t>
  </si>
  <si>
    <t>手动关闭逆变器61</t>
  </si>
  <si>
    <t>DRMs0_Stop</t>
  </si>
  <si>
    <t>澳洲DRM62</t>
  </si>
  <si>
    <t>PV_ARC_Fault</t>
  </si>
  <si>
    <t>拉弧故障63</t>
  </si>
  <si>
    <t>Heatsink_LowTemp_Fault</t>
  </si>
  <si>
    <t>逆变器温度过高64</t>
  </si>
  <si>
    <t xml:space="preserve">MPPT Photovoltaic input reverse connection fault 1                                  </t>
  </si>
  <si>
    <t xml:space="preserve">MPPT Auxiliary microcontroller fault 2                                              </t>
  </si>
  <si>
    <t xml:space="preserve">MPPT DC leakage current fault 3                                                     </t>
  </si>
  <si>
    <t>直流漏电流故障3</t>
  </si>
  <si>
    <t xml:space="preserve">MPPT ground fault at one end of the battery                                         </t>
  </si>
  <si>
    <t>GFDI（电池一端接地接地故障4</t>
  </si>
  <si>
    <t xml:space="preserve">MPPT Readwrite memory error 5                                                      </t>
  </si>
  <si>
    <t xml:space="preserve">MPPT Write Memory Error 6                                                           </t>
  </si>
  <si>
    <t xml:space="preserve">MPPT DCDC startup failed 7                                                          </t>
  </si>
  <si>
    <t xml:space="preserve">MPPT battery end grounded grounding contactor fault 8                               </t>
  </si>
  <si>
    <t>GFDI（电池一端接地）接地接触器故障8</t>
  </si>
  <si>
    <t xml:space="preserve">MPPT boost circuit fault 9                                                          </t>
  </si>
  <si>
    <t>boost电路故障</t>
  </si>
  <si>
    <t xml:space="preserve">MPPT Auxiliary switch power supply malfunction auxiliary switch power supply 10     </t>
  </si>
  <si>
    <t xml:space="preserve">MPPT AC main contactor error 11                                                     </t>
  </si>
  <si>
    <t xml:space="preserve">MPPT AC auxiliary contactor error 12                                                </t>
  </si>
  <si>
    <t xml:space="preserve">MPPT CAN communication failure 13                                                   </t>
  </si>
  <si>
    <t xml:space="preserve">MPPT DC software overcurrent fault 14                                               </t>
  </si>
  <si>
    <t>软件过流故障14</t>
  </si>
  <si>
    <t xml:space="preserve">MPPT Communication software overcurrent fault 15                                    </t>
  </si>
  <si>
    <t xml:space="preserve">MPPT Uncontrollable power failure 16                                                </t>
  </si>
  <si>
    <t xml:space="preserve">MPPT Photovoltaic hardware overcurrent fault 17                                     </t>
  </si>
  <si>
    <t xml:space="preserve">MPPT Hardware overvoltage fault 18                                                  </t>
  </si>
  <si>
    <t xml:space="preserve">MPPT Hardware undervoltage fault 19                                                 </t>
  </si>
  <si>
    <t>硬件过压欠压19</t>
  </si>
  <si>
    <t xml:space="preserve">MPPT  hardware overcurrent fault 20                                                 </t>
  </si>
  <si>
    <t>硬件过流20</t>
  </si>
  <si>
    <t xml:space="preserve">MPPT DC leakage current fault 21                                                    </t>
  </si>
  <si>
    <t xml:space="preserve">MPPT Emergency stop fault 22                                                        </t>
  </si>
  <si>
    <t xml:space="preserve">MPPT AC leakage current instantaneous overcurrent fault 23                          </t>
  </si>
  <si>
    <t xml:space="preserve">MPPT  insulation impedance fault 24                                                 </t>
  </si>
  <si>
    <t>绝缘阻抗故障24</t>
  </si>
  <si>
    <t xml:space="preserve">MPPT DC backflow fault 25                                                           </t>
  </si>
  <si>
    <t xml:space="preserve">MPPT DC bus imbalance fault 26                                                      </t>
  </si>
  <si>
    <t xml:space="preserve">MPPT Balance bridge arm overcurrent 27                                              </t>
  </si>
  <si>
    <t xml:space="preserve">MPPT Inversion 128                                                                  </t>
  </si>
  <si>
    <t xml:space="preserve">MPPT AC load switch malfunction 29                                                  </t>
  </si>
  <si>
    <t xml:space="preserve">MPPT  Main relay openshort circuit 30                                              </t>
  </si>
  <si>
    <t>主继电器开路短路</t>
  </si>
  <si>
    <t xml:space="preserve">MPPT Precharge relay failure 31                                                     </t>
  </si>
  <si>
    <t>预充继电器故障</t>
  </si>
  <si>
    <t xml:space="preserve">MPPT Inversion 232                                                                  </t>
  </si>
  <si>
    <t xml:space="preserve">MPPT AC current too high software reported AC current overcurrent fault133          </t>
  </si>
  <si>
    <t xml:space="preserve">MPPT AC overload 34                                                                 </t>
  </si>
  <si>
    <t xml:space="preserve">MPPT No mains power error on the communication end 35                               </t>
  </si>
  <si>
    <t xml:space="preserve">MPPT AC power grid phase sequence error 36                                          </t>
  </si>
  <si>
    <t xml:space="preserve">MPPT AC three-phase voltage imbalance fault 37                                      </t>
  </si>
  <si>
    <t xml:space="preserve">MPPT AC three-phase current imbalance fault 38                                      </t>
  </si>
  <si>
    <t xml:space="preserve">MPPT overcurrent fault reported by software within one switching cycle 39           </t>
  </si>
  <si>
    <t>交流过流故障39</t>
  </si>
  <si>
    <t xml:space="preserve">MPPT DC overcurrent fault 40                                                        </t>
  </si>
  <si>
    <t xml:space="preserve">MPPT Communication WU41                                                             </t>
  </si>
  <si>
    <t xml:space="preserve">MPPT Communication WU42                                                             </t>
  </si>
  <si>
    <t xml:space="preserve">MPPT Communication VW43                                                             </t>
  </si>
  <si>
    <t xml:space="preserve">MPPT Communication VW44                                                             </t>
  </si>
  <si>
    <t>交流VW44</t>
  </si>
  <si>
    <t xml:space="preserve">MPPT Communication UV45                                                             </t>
  </si>
  <si>
    <t xml:space="preserve">MPPT Communication UV46                                                             </t>
  </si>
  <si>
    <t>交流UV46</t>
  </si>
  <si>
    <t xml:space="preserve">MPPT Communication frequency too high fault 47                                      </t>
  </si>
  <si>
    <t xml:space="preserve">MPPT Communication frequency too low fault 48                                       </t>
  </si>
  <si>
    <t xml:space="preserve">MPPT The DC component of the phase to grid current is 49% higher                    </t>
  </si>
  <si>
    <t xml:space="preserve">MPPT Battery overcurrent 50                                                         </t>
  </si>
  <si>
    <t xml:space="preserve">MPPT Battery temperature too high 51                                                </t>
  </si>
  <si>
    <t xml:space="preserve">MPPT Battery voltage too high 52                                                    </t>
  </si>
  <si>
    <t xml:space="preserve">MPPT Battery auxiliary relay malfunction 53                                         </t>
  </si>
  <si>
    <t xml:space="preserve">MPPT Battery main relay malfunction 54                                              </t>
  </si>
  <si>
    <t xml:space="preserve">MPPT DC bus overvoltage fault 55                                                    </t>
  </si>
  <si>
    <t>直流母线过压故障55</t>
  </si>
  <si>
    <t xml:space="preserve">MPPT DC bus voltage too low fault 56                                                </t>
  </si>
  <si>
    <t xml:space="preserve">MPPT AC backflow fault 57                                                           </t>
  </si>
  <si>
    <t xml:space="preserve">MPPT BMS communication malfunction 58                                               </t>
  </si>
  <si>
    <t xml:space="preserve">MPPT Battery overcurrent fault 59                                                   </t>
  </si>
  <si>
    <t xml:space="preserve">MPPT AC network W current overcurrent fault 60                                      </t>
  </si>
  <si>
    <t xml:space="preserve">MPPT Manual shutdown of inverter 61                                                 </t>
  </si>
  <si>
    <t xml:space="preserve">MPPT Australian DRM62                                                               </t>
  </si>
  <si>
    <t xml:space="preserve">MPPT Arc pulling fault 63                                                           </t>
  </si>
  <si>
    <t xml:space="preserve">MPPT Inverter temperature too highlow 64                                           </t>
  </si>
  <si>
    <t>温度过高过低64</t>
  </si>
  <si>
    <t xml:space="preserve">STS Photovoltaic input reverse connection fault 1                                    </t>
  </si>
  <si>
    <t xml:space="preserve">STS Auxiliary microcontroller fault 2                                                </t>
  </si>
  <si>
    <t xml:space="preserve">STS STS disconnected                                                                 </t>
  </si>
  <si>
    <t xml:space="preserve">STS Para id dup warning                                                              </t>
  </si>
  <si>
    <t xml:space="preserve">STS Read/write memory error 5                                                        </t>
  </si>
  <si>
    <t xml:space="preserve">STS Write Memory Error 6                                                             </t>
  </si>
  <si>
    <t xml:space="preserve">STS DCDC startup failed 7                                                            </t>
  </si>
  <si>
    <t xml:space="preserve">STS Pcs Start Failure                                                                </t>
  </si>
  <si>
    <t xml:space="preserve">STS STS LC comm error                                                                </t>
  </si>
  <si>
    <t>STS到LC通讯丢失</t>
  </si>
  <si>
    <t xml:space="preserve">STS Auxiliary switch power supply malfunction auxiliary switch power supply 10       </t>
  </si>
  <si>
    <t xml:space="preserve">STS AC main contactor error 11                                                       </t>
  </si>
  <si>
    <t xml:space="preserve">STS AC auxiliary contactor error 12                                                  </t>
  </si>
  <si>
    <t xml:space="preserve">STS Reserve 13                                                                       </t>
  </si>
  <si>
    <t xml:space="preserve">STS DC software overcurrent fault 14                                                 </t>
  </si>
  <si>
    <t xml:space="preserve">STS Communication software overcurrent fault 15                                      </t>
  </si>
  <si>
    <t xml:space="preserve">STS GFCI (RCD) AC leakage current fault 16                                           </t>
  </si>
  <si>
    <t xml:space="preserve">STS Photovoltaic hardware overcurrent fault 17                                       </t>
  </si>
  <si>
    <t xml:space="preserve">STS Communication hardware overcurrent fault 18                                      </t>
  </si>
  <si>
    <t xml:space="preserve">STS Hardware integration failure 19                                                  </t>
  </si>
  <si>
    <t xml:space="preserve">STS DC hardware overcurrent fault 20                                                 </t>
  </si>
  <si>
    <t xml:space="preserve">STS DC leakage current fault 21                                                      </t>
  </si>
  <si>
    <t xml:space="preserve">STS Emergency stop fault 22                                                          </t>
  </si>
  <si>
    <t xml:space="preserve">STS AC leakage current instantaneous overcurrent fault 23                            </t>
  </si>
  <si>
    <t xml:space="preserve">STS DC insulation impedance fault 24                                                 </t>
  </si>
  <si>
    <t xml:space="preserve">STS DC backflow fault 25                                                             </t>
  </si>
  <si>
    <t xml:space="preserve">STS DC bus imbalance fault 26                                                        </t>
  </si>
  <si>
    <t xml:space="preserve">STS Balance bridge arm overcurrent 27                                                </t>
  </si>
  <si>
    <t xml:space="preserve">STS Inversion 128                                                                    </t>
  </si>
  <si>
    <t xml:space="preserve">STS AC load switch malfunction 29                                                    </t>
  </si>
  <si>
    <t xml:space="preserve">STS AC main contactor failure 30                                                     </t>
  </si>
  <si>
    <t xml:space="preserve">STS AC auxiliary contactor malfunction 31                                            </t>
  </si>
  <si>
    <t xml:space="preserve">STS Inversion 232                                                                    </t>
  </si>
  <si>
    <t xml:space="preserve">STS AC current too high software reported AC current overcurrent fault133            </t>
  </si>
  <si>
    <t xml:space="preserve">STS AC overload 34                                                                   </t>
  </si>
  <si>
    <t xml:space="preserve">STS No mains power error on the communication end 35                                 </t>
  </si>
  <si>
    <t xml:space="preserve">STS AC power grid phase sequence error 36                                            </t>
  </si>
  <si>
    <t xml:space="preserve">STS AC threephase voltage imbalance fault 37                                         </t>
  </si>
  <si>
    <t xml:space="preserve">STS AC threephase current imbalance fault 38                                         </t>
  </si>
  <si>
    <t xml:space="preserve">STS overcurrent fault reported by software within one switching cycle 39             </t>
  </si>
  <si>
    <t xml:space="preserve">STS DC overcurrent fault 40                                                          </t>
  </si>
  <si>
    <t xml:space="preserve">STS Communication WU41                                                               </t>
  </si>
  <si>
    <t xml:space="preserve">STS Communication WU42                                                               </t>
  </si>
  <si>
    <t xml:space="preserve">STS Communication VW43                                                               </t>
  </si>
  <si>
    <t xml:space="preserve">STS Mst Disconnect                                                                   </t>
  </si>
  <si>
    <t xml:space="preserve">STS Communication UV45                                                               </t>
  </si>
  <si>
    <t xml:space="preserve">STS STS fault                                                                        </t>
  </si>
  <si>
    <t xml:space="preserve">STS Communication frequency too high fault 47                                        </t>
  </si>
  <si>
    <t xml:space="preserve">STS Communication frequency too low fault 48                                         </t>
  </si>
  <si>
    <t xml:space="preserve">STS The DC component of the phase to grid current is 49% higher                      </t>
  </si>
  <si>
    <t xml:space="preserve">STS Battery overcurrent 50                                                           </t>
  </si>
  <si>
    <t xml:space="preserve">STS Battery temperature too high 51                                                  </t>
  </si>
  <si>
    <t xml:space="preserve">STS Battery voltage too high 52                                                      </t>
  </si>
  <si>
    <t xml:space="preserve">STS Battery auxiliary relay malfunction 53                                           </t>
  </si>
  <si>
    <t xml:space="preserve">STS Battery main relay malfunction 54                                                </t>
  </si>
  <si>
    <t xml:space="preserve">STS DC bus voltage too high fault 55                                                 </t>
  </si>
  <si>
    <t xml:space="preserve">STS DC bus voltage too low fault 56                                                  </t>
  </si>
  <si>
    <t xml:space="preserve">STS AC backflow fault 57                                                             </t>
  </si>
  <si>
    <t xml:space="preserve">STS BMS communication malfunction 58                                                 </t>
  </si>
  <si>
    <t xml:space="preserve">STS Battery overcurrent fault 59                                                     </t>
  </si>
  <si>
    <t xml:space="preserve">STS AC network W current overcurrent fault 60                                        </t>
  </si>
  <si>
    <t xml:space="preserve">STS Manual shutdown of inverter 61                                                   </t>
  </si>
  <si>
    <t xml:space="preserve">STS Australian DRM62                                                                 </t>
  </si>
  <si>
    <t xml:space="preserve">STS Arc pulling fault 63                                                             </t>
  </si>
  <si>
    <t xml:space="preserve">STS Inverter temperature too high 64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</si>
</sst>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  <numFmt numFmtId="177" formatCode="0.0_);[Red]\(0.0\)"/>
  </numFmts>
  <fonts count="42">
    <font>
      <sz val="11"/>
      <color theme="1"/>
      <name val="宋体"/>
      <charset val="134"/>
      <scheme val="minor"/>
    </font>
    <font>
      <sz val="11"/>
      <color rgb="FF000000"/>
      <name val="仿宋"/>
      <charset val="134"/>
    </font>
    <font>
      <sz val="12"/>
      <color rgb="FF000000"/>
      <name val="仿宋"/>
      <charset val="134"/>
    </font>
    <font>
      <b/>
      <sz val="12"/>
      <color rgb="FF000000"/>
      <name val="仿宋"/>
      <charset val="134"/>
    </font>
    <font>
      <sz val="12"/>
      <color rgb="FF231815"/>
      <name val="仿宋"/>
      <charset val="134"/>
    </font>
    <font>
      <sz val="14"/>
      <color rgb="FF000000"/>
      <name val="仿宋"/>
      <charset val="134"/>
    </font>
    <font>
      <b/>
      <sz val="28"/>
      <color rgb="FF000000"/>
      <name val="仿宋"/>
      <charset val="134"/>
    </font>
    <font>
      <sz val="14"/>
      <color rgb="FF417FF9"/>
      <name val="仿宋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4"/>
      <color rgb="FFFF0000"/>
      <name val="仿宋"/>
      <charset val="134"/>
    </font>
    <font>
      <sz val="12"/>
      <color rgb="FFFF0000"/>
      <name val="宋体"/>
      <charset val="134"/>
    </font>
    <font>
      <strike/>
      <sz val="14"/>
      <color rgb="FFFF0000"/>
      <name val="仿宋"/>
      <charset val="134"/>
    </font>
    <font>
      <strike/>
      <sz val="11"/>
      <color rgb="FFFF0000"/>
      <name val="宋体"/>
      <charset val="134"/>
    </font>
    <font>
      <sz val="14"/>
      <color rgb="FFFF0000"/>
      <name val="宋体"/>
      <charset val="134"/>
    </font>
    <font>
      <strike/>
      <sz val="14"/>
      <color rgb="FF000000"/>
      <name val="仿宋"/>
      <charset val="134"/>
    </font>
    <font>
      <sz val="14"/>
      <color rgb="FF000000"/>
      <name val="宋体"/>
      <charset val="134"/>
    </font>
    <font>
      <b/>
      <sz val="14"/>
      <color rgb="FF000000"/>
      <name val="仿宋"/>
      <charset val="134"/>
    </font>
    <font>
      <sz val="18"/>
      <color rgb="FF000000"/>
      <name val="仿宋"/>
      <charset val="134"/>
    </font>
    <font>
      <b/>
      <i/>
      <sz val="14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华文中宋"/>
      <charset val="134"/>
    </font>
    <font>
      <sz val="12"/>
      <color rgb="FFFF0000"/>
      <name val="华文中宋"/>
      <charset val="134"/>
    </font>
    <font>
      <sz val="11"/>
      <color rgb="FF00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AE3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5E0B4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2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7" applyNumberFormat="0" applyAlignment="0" applyProtection="0">
      <alignment vertical="center"/>
    </xf>
    <xf numFmtId="0" fontId="29" fillId="9" borderId="28" applyNumberFormat="0" applyAlignment="0" applyProtection="0">
      <alignment vertical="center"/>
    </xf>
    <xf numFmtId="0" fontId="30" fillId="9" borderId="27" applyNumberFormat="0" applyAlignment="0" applyProtection="0">
      <alignment vertical="center"/>
    </xf>
    <xf numFmtId="0" fontId="31" fillId="10" borderId="29" applyNumberFormat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0" borderId="31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top"/>
    </xf>
    <xf numFmtId="0" fontId="3" fillId="2" borderId="4" xfId="0" applyNumberFormat="1" applyFont="1" applyFill="1" applyBorder="1" applyAlignment="1">
      <alignment horizontal="center" vertical="top"/>
    </xf>
    <xf numFmtId="0" fontId="2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0" fontId="5" fillId="0" borderId="0" xfId="0" applyNumberFormat="1" applyFont="1">
      <alignment vertical="center"/>
    </xf>
    <xf numFmtId="0" fontId="6" fillId="3" borderId="13" xfId="0" applyNumberFormat="1" applyFont="1" applyFill="1" applyBorder="1" applyAlignment="1">
      <alignment horizontal="center" vertical="center"/>
    </xf>
    <xf numFmtId="0" fontId="6" fillId="3" borderId="14" xfId="0" applyNumberFormat="1" applyFont="1" applyFill="1" applyBorder="1" applyAlignment="1">
      <alignment horizontal="center" vertical="center"/>
    </xf>
    <xf numFmtId="0" fontId="6" fillId="3" borderId="15" xfId="0" applyNumberFormat="1" applyFont="1" applyFill="1" applyBorder="1" applyAlignment="1">
      <alignment horizontal="center" vertical="center"/>
    </xf>
    <xf numFmtId="0" fontId="5" fillId="4" borderId="16" xfId="0" applyNumberFormat="1" applyFont="1" applyFill="1" applyBorder="1" applyAlignment="1">
      <alignment horizontal="center" vertical="center" wrapText="1"/>
    </xf>
    <xf numFmtId="0" fontId="5" fillId="4" borderId="16" xfId="0" applyNumberFormat="1" applyFont="1" applyFill="1" applyBorder="1" applyAlignment="1">
      <alignment horizontal="left" vertical="center" wrapText="1"/>
    </xf>
    <xf numFmtId="0" fontId="5" fillId="4" borderId="17" xfId="0" applyNumberFormat="1" applyFont="1" applyFill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/>
    </xf>
    <xf numFmtId="0" fontId="5" fillId="4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left" vertical="center"/>
    </xf>
    <xf numFmtId="0" fontId="5" fillId="0" borderId="3" xfId="0" applyNumberFormat="1" applyFont="1" applyBorder="1">
      <alignment vertical="center"/>
    </xf>
    <xf numFmtId="0" fontId="6" fillId="3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Border="1">
      <alignment vertical="center"/>
    </xf>
    <xf numFmtId="0" fontId="5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5" fillId="0" borderId="18" xfId="0" applyNumberFormat="1" applyFont="1" applyBorder="1" applyAlignment="1">
      <alignment horizontal="center" vertical="center"/>
    </xf>
    <xf numFmtId="0" fontId="6" fillId="3" borderId="18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5" borderId="14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 wrapText="1"/>
    </xf>
    <xf numFmtId="0" fontId="10" fillId="0" borderId="3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 wrapText="1"/>
    </xf>
    <xf numFmtId="0" fontId="5" fillId="0" borderId="16" xfId="0" applyNumberFormat="1" applyFont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0" fontId="7" fillId="0" borderId="10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/>
    </xf>
    <xf numFmtId="0" fontId="5" fillId="4" borderId="10" xfId="0" applyNumberFormat="1" applyFont="1" applyFill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 wrapText="1"/>
    </xf>
    <xf numFmtId="0" fontId="5" fillId="0" borderId="19" xfId="0" applyNumberFormat="1" applyFont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0" fontId="10" fillId="0" borderId="16" xfId="0" applyNumberFormat="1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10" fillId="4" borderId="3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6" fillId="0" borderId="0" xfId="0" applyNumberFormat="1" applyFont="1">
      <alignment vertical="center"/>
    </xf>
    <xf numFmtId="0" fontId="16" fillId="0" borderId="3" xfId="0" applyNumberFormat="1" applyFont="1" applyBorder="1" applyAlignment="1">
      <alignment horizontal="center" vertical="center" wrapText="1"/>
    </xf>
    <xf numFmtId="0" fontId="16" fillId="0" borderId="3" xfId="0" applyNumberFormat="1" applyFont="1" applyBorder="1" applyAlignment="1">
      <alignment horizontal="center" vertical="center"/>
    </xf>
    <xf numFmtId="0" fontId="16" fillId="0" borderId="10" xfId="0" applyNumberFormat="1" applyFont="1" applyBorder="1" applyAlignment="1">
      <alignment horizontal="center" vertical="center"/>
    </xf>
    <xf numFmtId="0" fontId="16" fillId="0" borderId="11" xfId="0" applyNumberFormat="1" applyFont="1" applyBorder="1" applyAlignment="1">
      <alignment horizontal="center" vertical="center"/>
    </xf>
    <xf numFmtId="0" fontId="16" fillId="0" borderId="16" xfId="0" applyNumberFormat="1" applyFont="1" applyBorder="1" applyAlignment="1">
      <alignment horizontal="center" vertical="center"/>
    </xf>
    <xf numFmtId="0" fontId="16" fillId="0" borderId="3" xfId="0" applyNumberFormat="1" applyFont="1" applyBorder="1">
      <alignment vertical="center"/>
    </xf>
    <xf numFmtId="0" fontId="2" fillId="0" borderId="0" xfId="0" applyNumberFormat="1" applyFont="1" applyAlignment="1"/>
    <xf numFmtId="0" fontId="2" fillId="0" borderId="0" xfId="0" applyNumberFormat="1" applyFont="1" applyAlignment="1">
      <alignment horizontal="center"/>
    </xf>
    <xf numFmtId="0" fontId="17" fillId="0" borderId="0" xfId="0" applyNumberFormat="1" applyFont="1" applyAlignment="1">
      <alignment horizontal="center"/>
    </xf>
    <xf numFmtId="0" fontId="18" fillId="0" borderId="3" xfId="0" applyNumberFormat="1" applyFont="1" applyBorder="1" applyAlignment="1">
      <alignment horizontal="center"/>
    </xf>
    <xf numFmtId="0" fontId="18" fillId="0" borderId="3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/>
    <xf numFmtId="0" fontId="3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left" vertical="center" wrapText="1"/>
    </xf>
    <xf numFmtId="0" fontId="1" fillId="0" borderId="3" xfId="0" applyNumberFormat="1" applyFont="1" applyBorder="1" applyAlignment="1">
      <alignment vertical="center" wrapText="1"/>
    </xf>
    <xf numFmtId="0" fontId="1" fillId="0" borderId="11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/>
    </xf>
    <xf numFmtId="0" fontId="1" fillId="0" borderId="0" xfId="0" applyNumberFormat="1" applyFont="1" applyAlignment="1"/>
    <xf numFmtId="0" fontId="2" fillId="0" borderId="3" xfId="0" applyNumberFormat="1" applyFont="1" applyBorder="1" applyAlignment="1">
      <alignment horizontal="center"/>
    </xf>
    <xf numFmtId="0" fontId="17" fillId="0" borderId="10" xfId="0" applyNumberFormat="1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 wrapText="1"/>
    </xf>
    <xf numFmtId="0" fontId="3" fillId="0" borderId="0" xfId="0" applyNumberFormat="1" applyFont="1">
      <alignment vertical="center"/>
    </xf>
    <xf numFmtId="0" fontId="17" fillId="0" borderId="11" xfId="0" applyNumberFormat="1" applyFont="1" applyBorder="1" applyAlignment="1">
      <alignment horizontal="center" vertical="center" wrapText="1"/>
    </xf>
    <xf numFmtId="0" fontId="1" fillId="0" borderId="13" xfId="0" applyNumberFormat="1" applyFont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0" xfId="0" applyNumberFormat="1" applyFont="1">
      <alignment vertic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19" xfId="0" applyNumberFormat="1" applyFont="1" applyBorder="1" applyAlignment="1">
      <alignment horizontal="left" vertical="center" wrapText="1"/>
    </xf>
    <xf numFmtId="0" fontId="1" fillId="0" borderId="21" xfId="0" applyNumberFormat="1" applyFont="1" applyBorder="1" applyAlignment="1">
      <alignment horizontal="left" vertical="center" wrapText="1"/>
    </xf>
    <xf numFmtId="0" fontId="1" fillId="0" borderId="22" xfId="0" applyNumberFormat="1" applyFont="1" applyBorder="1" applyAlignment="1">
      <alignment horizontal="left" vertical="center" wrapText="1"/>
    </xf>
    <xf numFmtId="0" fontId="1" fillId="0" borderId="17" xfId="0" applyNumberFormat="1" applyFont="1" applyBorder="1" applyAlignment="1">
      <alignment horizontal="left" vertical="center" wrapText="1"/>
    </xf>
    <xf numFmtId="0" fontId="1" fillId="0" borderId="20" xfId="0" applyNumberFormat="1" applyFont="1" applyBorder="1" applyAlignment="1">
      <alignment horizontal="left" vertical="center" wrapText="1"/>
    </xf>
    <xf numFmtId="0" fontId="1" fillId="0" borderId="23" xfId="0" applyNumberFormat="1" applyFont="1" applyBorder="1" applyAlignment="1">
      <alignment horizontal="left" vertical="center" wrapText="1"/>
    </xf>
    <xf numFmtId="0" fontId="17" fillId="0" borderId="16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>
      <alignment vertical="center"/>
    </xf>
    <xf numFmtId="0" fontId="17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1" fillId="0" borderId="13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5" fillId="0" borderId="0" xfId="0" applyNumberFormat="1" applyFont="1" applyAlignment="1">
      <alignment horizontal="center" vertical="center" wrapText="1"/>
    </xf>
    <xf numFmtId="0" fontId="17" fillId="0" borderId="0" xfId="0" applyNumberFormat="1" applyFont="1" applyAlignment="1">
      <alignment vertical="center" wrapText="1"/>
    </xf>
    <xf numFmtId="0" fontId="1" fillId="0" borderId="10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vertical="top" wrapText="1"/>
    </xf>
    <xf numFmtId="177" fontId="19" fillId="6" borderId="3" xfId="0" applyNumberFormat="1" applyFont="1" applyFill="1" applyBorder="1" applyAlignment="1">
      <alignment horizontal="center" vertical="top" wrapText="1"/>
    </xf>
    <xf numFmtId="0" fontId="19" fillId="6" borderId="3" xfId="0" applyNumberFormat="1" applyFont="1" applyFill="1" applyBorder="1" applyAlignment="1">
      <alignment horizontal="center" vertical="top" wrapText="1"/>
    </xf>
    <xf numFmtId="177" fontId="5" fillId="0" borderId="3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left" vertical="top" wrapText="1"/>
    </xf>
    <xf numFmtId="0" fontId="5" fillId="0" borderId="3" xfId="0" applyNumberFormat="1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www.wps.cn/officeDocument/2020/cellImage" Target="cellimag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42"/>
  <sheetViews>
    <sheetView view="pageBreakPreview" zoomScale="70" zoomScaleNormal="70" topLeftCell="A17" workbookViewId="0">
      <selection activeCell="D106" sqref="D106"/>
    </sheetView>
  </sheetViews>
  <sheetFormatPr defaultColWidth="9" defaultRowHeight="30" customHeight="1" outlineLevelCol="5"/>
  <cols>
    <col min="1" max="1" width="9" style="17"/>
    <col min="2" max="2" width="13.2583333333333" style="17" customWidth="1"/>
    <col min="3" max="5" width="9" style="17"/>
    <col min="6" max="6" width="40.625" style="17" customWidth="1"/>
    <col min="7" max="16384" width="9" style="17"/>
  </cols>
  <sheetData>
    <row r="1" ht="51.75" customHeight="1" spans="1:6">
      <c r="A1" s="97" t="s">
        <v>0</v>
      </c>
      <c r="B1" s="97"/>
      <c r="C1" s="97"/>
      <c r="D1" s="97"/>
      <c r="E1" s="97"/>
      <c r="F1" s="97"/>
    </row>
    <row r="2" ht="75" spans="1:6">
      <c r="A2" s="130" t="s">
        <v>1</v>
      </c>
      <c r="B2" s="131" t="s">
        <v>2</v>
      </c>
      <c r="C2" s="131" t="s">
        <v>3</v>
      </c>
      <c r="D2" s="131" t="s">
        <v>4</v>
      </c>
      <c r="E2" s="131" t="s">
        <v>5</v>
      </c>
      <c r="F2" s="131" t="s">
        <v>6</v>
      </c>
    </row>
    <row r="3" customHeight="1" spans="1:6">
      <c r="A3" s="132" t="s">
        <v>7</v>
      </c>
      <c r="B3" s="133">
        <v>45897</v>
      </c>
      <c r="C3" s="132" t="s">
        <v>8</v>
      </c>
      <c r="D3" s="134"/>
      <c r="E3" s="134"/>
      <c r="F3" s="135" t="s">
        <v>9</v>
      </c>
    </row>
    <row r="4" customHeight="1" spans="1:6">
      <c r="A4" s="132"/>
      <c r="B4" s="133"/>
      <c r="C4" s="132"/>
      <c r="D4" s="134"/>
      <c r="E4" s="134"/>
      <c r="F4" s="135"/>
    </row>
    <row r="5" customHeight="1" spans="1:6">
      <c r="A5" s="132"/>
      <c r="B5" s="133"/>
      <c r="C5" s="132"/>
      <c r="D5" s="134"/>
      <c r="E5" s="134"/>
      <c r="F5" s="135"/>
    </row>
    <row r="6" ht="18.75" spans="1:6">
      <c r="A6" s="132"/>
      <c r="B6" s="133"/>
      <c r="C6" s="132"/>
      <c r="D6" s="134"/>
      <c r="E6" s="134"/>
      <c r="F6" s="135"/>
    </row>
    <row r="7" customHeight="1" spans="1:6">
      <c r="A7" s="132"/>
      <c r="B7" s="133"/>
      <c r="C7" s="132"/>
      <c r="D7" s="134"/>
      <c r="E7" s="134"/>
      <c r="F7" s="135"/>
    </row>
    <row r="8" customHeight="1" spans="1:6">
      <c r="A8" s="132"/>
      <c r="B8" s="133"/>
      <c r="C8" s="132"/>
      <c r="D8" s="134"/>
      <c r="E8" s="134"/>
      <c r="F8" s="135"/>
    </row>
    <row r="9" customHeight="1" spans="1:6">
      <c r="A9" s="132"/>
      <c r="B9" s="133"/>
      <c r="C9" s="132"/>
      <c r="D9" s="134"/>
      <c r="E9" s="134"/>
      <c r="F9" s="135"/>
    </row>
    <row r="10" customHeight="1" spans="1:6">
      <c r="A10" s="132"/>
      <c r="B10" s="133"/>
      <c r="C10" s="132"/>
      <c r="D10" s="134"/>
      <c r="E10" s="134"/>
      <c r="F10" s="135"/>
    </row>
    <row r="11" customHeight="1" spans="1:6">
      <c r="A11" s="132"/>
      <c r="B11" s="133"/>
      <c r="C11" s="132"/>
      <c r="D11" s="30"/>
      <c r="E11" s="30"/>
      <c r="F11" s="135"/>
    </row>
    <row r="12" customHeight="1" spans="1:6">
      <c r="A12" s="132"/>
      <c r="B12" s="133"/>
      <c r="C12" s="132"/>
      <c r="D12" s="30"/>
      <c r="E12" s="30"/>
      <c r="F12" s="135"/>
    </row>
    <row r="13" customHeight="1" spans="1:6">
      <c r="A13" s="132"/>
      <c r="B13" s="133"/>
      <c r="C13" s="132"/>
      <c r="D13" s="30"/>
      <c r="E13" s="30"/>
      <c r="F13" s="135"/>
    </row>
    <row r="14" customHeight="1" spans="1:6">
      <c r="A14" s="132"/>
      <c r="B14" s="133"/>
      <c r="C14" s="132"/>
      <c r="D14" s="30"/>
      <c r="E14" s="30"/>
      <c r="F14" s="135"/>
    </row>
    <row r="15" customHeight="1" spans="1:6">
      <c r="A15" s="132"/>
      <c r="B15" s="133"/>
      <c r="C15" s="132"/>
      <c r="D15" s="134"/>
      <c r="E15" s="134"/>
      <c r="F15" s="135"/>
    </row>
    <row r="16" customHeight="1" spans="1:6">
      <c r="A16" s="132"/>
      <c r="B16" s="133"/>
      <c r="C16" s="132"/>
      <c r="D16" s="134"/>
      <c r="E16" s="134"/>
      <c r="F16" s="135"/>
    </row>
    <row r="17" customHeight="1" spans="1:6">
      <c r="A17" s="132"/>
      <c r="B17" s="133"/>
      <c r="C17" s="132"/>
      <c r="D17" s="134"/>
      <c r="E17" s="134"/>
      <c r="F17" s="135"/>
    </row>
    <row r="18" customHeight="1" spans="1:6">
      <c r="A18" s="132"/>
      <c r="B18" s="133"/>
      <c r="C18" s="132"/>
      <c r="D18" s="134"/>
      <c r="E18" s="134"/>
      <c r="F18" s="135"/>
    </row>
    <row r="19" customHeight="1" spans="1:6">
      <c r="A19" s="132"/>
      <c r="B19" s="133"/>
      <c r="C19" s="132"/>
      <c r="D19" s="134"/>
      <c r="E19" s="134"/>
      <c r="F19" s="135"/>
    </row>
    <row r="20" customHeight="1" spans="1:6">
      <c r="A20" s="132"/>
      <c r="B20" s="133"/>
      <c r="C20" s="132"/>
      <c r="D20" s="134"/>
      <c r="E20" s="134"/>
      <c r="F20" s="135"/>
    </row>
    <row r="21" customHeight="1" spans="1:6">
      <c r="A21" s="132"/>
      <c r="B21" s="133"/>
      <c r="C21" s="132"/>
      <c r="D21" s="134"/>
      <c r="E21" s="134"/>
      <c r="F21" s="135"/>
    </row>
    <row r="22" customHeight="1" spans="1:6">
      <c r="A22" s="132"/>
      <c r="B22" s="133"/>
      <c r="C22" s="132"/>
      <c r="D22" s="134"/>
      <c r="E22" s="134"/>
      <c r="F22" s="135"/>
    </row>
    <row r="23" customHeight="1" spans="1:6">
      <c r="A23" s="132"/>
      <c r="B23" s="133"/>
      <c r="C23" s="132"/>
      <c r="D23" s="134"/>
      <c r="E23" s="134"/>
      <c r="F23" s="135"/>
    </row>
    <row r="24" customHeight="1" spans="1:6">
      <c r="A24" s="132"/>
      <c r="B24" s="133"/>
      <c r="C24" s="132"/>
      <c r="D24" s="134"/>
      <c r="E24" s="134"/>
      <c r="F24" s="135"/>
    </row>
    <row r="25" customHeight="1" spans="1:6">
      <c r="A25" s="132"/>
      <c r="B25" s="133"/>
      <c r="C25" s="132"/>
      <c r="D25" s="134"/>
      <c r="E25" s="134"/>
      <c r="F25" s="135"/>
    </row>
    <row r="26" customHeight="1" spans="1:6">
      <c r="A26" s="132"/>
      <c r="B26" s="133"/>
      <c r="C26" s="132"/>
      <c r="D26" s="134"/>
      <c r="E26" s="134"/>
      <c r="F26" s="135"/>
    </row>
    <row r="27" customHeight="1" spans="1:6">
      <c r="A27" s="132"/>
      <c r="B27" s="133"/>
      <c r="C27" s="132"/>
      <c r="D27" s="134"/>
      <c r="E27" s="134"/>
      <c r="F27" s="135"/>
    </row>
    <row r="28" customHeight="1" spans="1:6">
      <c r="A28" s="132"/>
      <c r="B28" s="133"/>
      <c r="C28" s="132"/>
      <c r="D28" s="134"/>
      <c r="E28" s="134"/>
      <c r="F28" s="135"/>
    </row>
    <row r="29" customHeight="1" spans="1:6">
      <c r="A29" s="132"/>
      <c r="B29" s="133"/>
      <c r="C29" s="132"/>
      <c r="D29" s="134"/>
      <c r="E29" s="134"/>
      <c r="F29" s="135"/>
    </row>
    <row r="30" customHeight="1" spans="1:6">
      <c r="A30" s="132"/>
      <c r="B30" s="133"/>
      <c r="C30" s="132"/>
      <c r="D30" s="134"/>
      <c r="E30" s="134"/>
      <c r="F30" s="135"/>
    </row>
    <row r="31" customHeight="1" spans="1:6">
      <c r="A31" s="132"/>
      <c r="B31" s="133"/>
      <c r="C31" s="132"/>
      <c r="D31" s="134"/>
      <c r="E31" s="134"/>
      <c r="F31" s="135"/>
    </row>
    <row r="32" customHeight="1" spans="1:6">
      <c r="A32" s="132"/>
      <c r="B32" s="133"/>
      <c r="C32" s="132"/>
      <c r="D32" s="134"/>
      <c r="E32" s="134"/>
      <c r="F32" s="135"/>
    </row>
    <row r="33" customHeight="1" spans="1:6">
      <c r="A33" s="132"/>
      <c r="B33" s="133"/>
      <c r="C33" s="132"/>
      <c r="D33" s="134"/>
      <c r="E33" s="134"/>
      <c r="F33" s="135"/>
    </row>
    <row r="34" customHeight="1" spans="1:6">
      <c r="A34" s="132"/>
      <c r="B34" s="133"/>
      <c r="C34" s="132"/>
      <c r="D34" s="134"/>
      <c r="E34" s="134"/>
      <c r="F34" s="135"/>
    </row>
    <row r="35" customHeight="1" spans="1:6">
      <c r="A35" s="132"/>
      <c r="B35" s="133"/>
      <c r="C35" s="132"/>
      <c r="D35" s="134"/>
      <c r="E35" s="134"/>
      <c r="F35" s="135"/>
    </row>
    <row r="36" customHeight="1" spans="1:6">
      <c r="A36" s="132"/>
      <c r="B36" s="133"/>
      <c r="C36" s="132"/>
      <c r="D36" s="134"/>
      <c r="E36" s="134"/>
      <c r="F36" s="135"/>
    </row>
    <row r="37" customHeight="1" spans="1:6">
      <c r="A37" s="132"/>
      <c r="B37" s="133"/>
      <c r="C37" s="132"/>
      <c r="D37" s="134"/>
      <c r="E37" s="134"/>
      <c r="F37" s="135"/>
    </row>
    <row r="38" customHeight="1" spans="1:6">
      <c r="A38" s="132"/>
      <c r="B38" s="133"/>
      <c r="C38" s="132"/>
      <c r="D38" s="134"/>
      <c r="E38" s="134"/>
      <c r="F38" s="135"/>
    </row>
    <row r="39" customHeight="1" spans="1:6">
      <c r="A39" s="132"/>
      <c r="B39" s="133"/>
      <c r="C39" s="132"/>
      <c r="D39" s="134"/>
      <c r="E39" s="134"/>
      <c r="F39" s="135"/>
    </row>
    <row r="40" customHeight="1" spans="1:6">
      <c r="A40" s="132"/>
      <c r="B40" s="133"/>
      <c r="C40" s="132"/>
      <c r="D40" s="134"/>
      <c r="E40" s="134"/>
      <c r="F40" s="135"/>
    </row>
    <row r="41" customHeight="1" spans="1:6">
      <c r="A41" s="132"/>
      <c r="B41" s="133"/>
      <c r="C41" s="132"/>
      <c r="D41" s="134"/>
      <c r="E41" s="134"/>
      <c r="F41" s="135"/>
    </row>
    <row r="42" customHeight="1" spans="1:6">
      <c r="A42" s="132"/>
      <c r="B42" s="133"/>
      <c r="C42" s="132"/>
      <c r="D42" s="134"/>
      <c r="E42" s="134"/>
      <c r="F42" s="135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00787401574803" right="0.700787401574803" top="0.751968503937008" bottom="0.751968503937008" header="0.299212598425197" footer="0.29921259842519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B1:Q47"/>
  <sheetViews>
    <sheetView zoomScale="75" zoomScaleNormal="75" topLeftCell="A19" workbookViewId="0">
      <selection activeCell="D106" sqref="D106"/>
    </sheetView>
  </sheetViews>
  <sheetFormatPr defaultColWidth="9.5" defaultRowHeight="14.25"/>
  <cols>
    <col min="1" max="1" width="2.125" style="78" customWidth="1"/>
    <col min="2" max="2" width="5.875" style="79" customWidth="1"/>
    <col min="3" max="3" width="14.7583333333333" style="78" customWidth="1"/>
    <col min="4" max="4" width="15.375" style="78" customWidth="1"/>
    <col min="5" max="5" width="12.375" style="78" customWidth="1"/>
    <col min="6" max="6" width="8" style="78" customWidth="1"/>
    <col min="7" max="7" width="8.125" style="78" customWidth="1"/>
    <col min="8" max="8" width="28.5" style="78" customWidth="1"/>
    <col min="9" max="9" width="9.625" style="78" customWidth="1"/>
    <col min="10" max="10" width="6" style="78" customWidth="1"/>
    <col min="11" max="11" width="9.5" style="78"/>
    <col min="12" max="12" width="14.7583333333333" style="78" customWidth="1"/>
    <col min="13" max="13" width="12.875" style="78" customWidth="1"/>
    <col min="14" max="14" width="9.25833333333333" style="78" customWidth="1"/>
    <col min="15" max="15" width="8.5" style="78" customWidth="1"/>
    <col min="16" max="16" width="12.875" style="78" customWidth="1"/>
    <col min="17" max="16384" width="9.5" style="78"/>
  </cols>
  <sheetData>
    <row r="1" ht="9.75" customHeight="1"/>
    <row r="2" ht="26.25" customHeight="1" spans="2:17">
      <c r="B2" s="80" t="s">
        <v>10</v>
      </c>
      <c r="C2" s="81" t="s">
        <v>11</v>
      </c>
      <c r="D2" s="81"/>
      <c r="E2" s="81"/>
      <c r="F2" s="81"/>
      <c r="G2" s="81"/>
      <c r="H2" s="82" t="s">
        <v>12</v>
      </c>
      <c r="I2" s="83"/>
      <c r="J2" s="84" t="s">
        <v>10</v>
      </c>
      <c r="K2" s="84" t="s">
        <v>13</v>
      </c>
      <c r="L2" s="84" t="s">
        <v>14</v>
      </c>
      <c r="M2" s="84" t="s">
        <v>15</v>
      </c>
      <c r="N2" s="84" t="s">
        <v>12</v>
      </c>
      <c r="O2" s="84"/>
      <c r="P2" s="84"/>
    </row>
    <row r="3" ht="37.5" customHeight="1" spans="2:17">
      <c r="B3" s="85">
        <v>1</v>
      </c>
      <c r="C3" s="86" t="s">
        <v>16</v>
      </c>
      <c r="D3" s="86"/>
      <c r="E3" s="86"/>
      <c r="F3" s="86"/>
      <c r="G3" s="86"/>
      <c r="H3" s="87"/>
      <c r="I3" s="83"/>
      <c r="J3" s="88">
        <v>3</v>
      </c>
      <c r="K3" s="85">
        <v>3</v>
      </c>
      <c r="L3" s="85" t="s">
        <v>17</v>
      </c>
      <c r="M3" s="85" t="s">
        <v>18</v>
      </c>
      <c r="N3" s="89" t="s">
        <v>19</v>
      </c>
      <c r="O3" s="89"/>
      <c r="P3" s="89"/>
    </row>
    <row r="4" ht="26.25" customHeight="1" spans="2:17">
      <c r="B4" s="85">
        <v>2</v>
      </c>
      <c r="C4" s="85" t="s">
        <v>20</v>
      </c>
      <c r="D4" s="85"/>
      <c r="E4" s="85"/>
      <c r="F4" s="85"/>
      <c r="G4" s="85"/>
      <c r="H4" s="85"/>
      <c r="I4" s="83"/>
      <c r="J4" s="90"/>
      <c r="K4" s="85">
        <v>16</v>
      </c>
      <c r="L4" s="85" t="s">
        <v>21</v>
      </c>
      <c r="M4" s="85" t="s">
        <v>18</v>
      </c>
      <c r="N4" s="85" t="s">
        <v>22</v>
      </c>
      <c r="O4" s="85"/>
      <c r="P4" s="85"/>
    </row>
    <row r="5" ht="19.5" customHeight="1" spans="2:17">
      <c r="B5" s="1"/>
      <c r="C5" s="91"/>
      <c r="D5" s="91"/>
      <c r="E5" s="91"/>
      <c r="F5" s="91"/>
      <c r="G5" s="91"/>
      <c r="H5" s="91"/>
      <c r="I5" s="91"/>
    </row>
    <row r="6" ht="39" customHeight="1" spans="2:17">
      <c r="B6" s="92"/>
      <c r="C6" s="82" t="s">
        <v>23</v>
      </c>
      <c r="D6" s="82"/>
      <c r="E6" s="82"/>
      <c r="F6" s="82"/>
      <c r="G6" s="82"/>
      <c r="H6" s="82"/>
      <c r="I6" s="91"/>
      <c r="J6" s="82" t="s">
        <v>24</v>
      </c>
      <c r="K6" s="82"/>
      <c r="L6" s="82"/>
      <c r="M6" s="82"/>
      <c r="N6" s="82"/>
      <c r="O6" s="82"/>
      <c r="P6" s="82"/>
    </row>
    <row r="7" ht="25.5" customHeight="1" spans="2:17">
      <c r="B7" s="93" t="s">
        <v>25</v>
      </c>
      <c r="C7" s="84" t="s">
        <v>26</v>
      </c>
      <c r="D7" s="94" t="s">
        <v>27</v>
      </c>
      <c r="E7" s="95"/>
      <c r="F7" s="94" t="s">
        <v>28</v>
      </c>
      <c r="G7" s="96"/>
      <c r="H7" s="95"/>
      <c r="J7" s="97" t="s">
        <v>25</v>
      </c>
      <c r="K7" s="84" t="s">
        <v>26</v>
      </c>
      <c r="L7" s="84" t="s">
        <v>27</v>
      </c>
      <c r="M7" s="84"/>
      <c r="N7" s="84" t="s">
        <v>28</v>
      </c>
      <c r="O7" s="84"/>
      <c r="P7" s="84"/>
      <c r="Q7" s="98"/>
    </row>
    <row r="8" ht="16.5" customHeight="1" spans="2:17">
      <c r="B8" s="99"/>
      <c r="C8" s="85">
        <v>0</v>
      </c>
      <c r="D8" s="100" t="s">
        <v>29</v>
      </c>
      <c r="E8" s="101"/>
      <c r="F8" s="100"/>
      <c r="G8" s="102"/>
      <c r="H8" s="101"/>
      <c r="J8" s="97"/>
      <c r="K8" s="85">
        <v>0</v>
      </c>
      <c r="L8" s="85" t="s">
        <v>29</v>
      </c>
      <c r="M8" s="85"/>
      <c r="N8" s="85"/>
      <c r="O8" s="85"/>
      <c r="P8" s="85"/>
      <c r="Q8" s="103"/>
    </row>
    <row r="9" ht="19.5" customHeight="1" spans="2:17">
      <c r="B9" s="99"/>
      <c r="C9" s="85">
        <v>1</v>
      </c>
      <c r="D9" s="100" t="s">
        <v>30</v>
      </c>
      <c r="E9" s="101"/>
      <c r="F9" s="100"/>
      <c r="G9" s="102"/>
      <c r="H9" s="101"/>
      <c r="J9" s="97"/>
      <c r="K9" s="85">
        <v>1</v>
      </c>
      <c r="L9" s="85" t="s">
        <v>31</v>
      </c>
      <c r="M9" s="85"/>
      <c r="N9" s="85"/>
      <c r="O9" s="85"/>
      <c r="P9" s="85"/>
      <c r="Q9" s="103"/>
    </row>
    <row r="10" ht="16.5" customHeight="1" spans="2:17">
      <c r="B10" s="99"/>
      <c r="C10" s="85">
        <v>2</v>
      </c>
      <c r="D10" s="100" t="s">
        <v>32</v>
      </c>
      <c r="E10" s="101"/>
      <c r="F10" s="104" t="s">
        <v>33</v>
      </c>
      <c r="G10" s="105"/>
      <c r="H10" s="106"/>
      <c r="J10" s="97"/>
      <c r="K10" s="85">
        <v>2</v>
      </c>
      <c r="L10" s="85" t="s">
        <v>32</v>
      </c>
      <c r="M10" s="85"/>
      <c r="N10" s="85" t="s">
        <v>33</v>
      </c>
      <c r="O10" s="85"/>
      <c r="P10" s="85"/>
      <c r="Q10" s="103"/>
    </row>
    <row r="11" ht="16.5" customHeight="1" spans="2:17">
      <c r="B11" s="99"/>
      <c r="C11" s="85">
        <v>3</v>
      </c>
      <c r="D11" s="100" t="s">
        <v>34</v>
      </c>
      <c r="E11" s="101"/>
      <c r="F11" s="107"/>
      <c r="G11" s="108"/>
      <c r="H11" s="109"/>
      <c r="J11" s="97"/>
      <c r="K11" s="85">
        <v>3</v>
      </c>
      <c r="L11" s="85" t="s">
        <v>34</v>
      </c>
      <c r="M11" s="85"/>
      <c r="N11" s="85"/>
      <c r="O11" s="85"/>
      <c r="P11" s="85"/>
      <c r="Q11" s="103"/>
    </row>
    <row r="12" ht="16.5" customHeight="1" spans="2:17">
      <c r="B12" s="99"/>
      <c r="C12" s="85">
        <v>4</v>
      </c>
      <c r="D12" s="100" t="s">
        <v>35</v>
      </c>
      <c r="E12" s="101"/>
      <c r="F12" s="104" t="s">
        <v>36</v>
      </c>
      <c r="G12" s="105"/>
      <c r="H12" s="106"/>
      <c r="J12" s="97"/>
      <c r="K12" s="85">
        <v>4</v>
      </c>
      <c r="L12" s="85" t="s">
        <v>37</v>
      </c>
      <c r="M12" s="85"/>
      <c r="N12" s="110" t="s">
        <v>38</v>
      </c>
      <c r="O12" s="111"/>
      <c r="P12" s="112"/>
      <c r="Q12" s="103"/>
    </row>
    <row r="13" ht="16.5" customHeight="1" spans="2:17">
      <c r="B13" s="99"/>
      <c r="C13" s="85">
        <v>5</v>
      </c>
      <c r="D13" s="100" t="s">
        <v>39</v>
      </c>
      <c r="E13" s="101"/>
      <c r="F13" s="107"/>
      <c r="G13" s="108"/>
      <c r="H13" s="109"/>
      <c r="J13" s="97"/>
      <c r="K13" s="85">
        <v>5</v>
      </c>
      <c r="L13" s="85" t="s">
        <v>40</v>
      </c>
      <c r="M13" s="85"/>
      <c r="N13" s="113"/>
      <c r="O13" s="114"/>
      <c r="P13" s="115"/>
      <c r="Q13" s="103"/>
    </row>
    <row r="14" ht="16.5" customHeight="1" spans="2:17">
      <c r="B14" s="116"/>
      <c r="C14" s="117">
        <v>0.857142857142857</v>
      </c>
      <c r="D14" s="100" t="s">
        <v>41</v>
      </c>
      <c r="E14" s="101"/>
      <c r="F14" s="100"/>
      <c r="G14" s="102"/>
      <c r="H14" s="101"/>
      <c r="J14" s="97"/>
      <c r="K14" s="118">
        <v>6</v>
      </c>
      <c r="L14" s="85" t="s">
        <v>42</v>
      </c>
      <c r="M14" s="85"/>
      <c r="N14" s="85" t="s">
        <v>43</v>
      </c>
      <c r="O14" s="85"/>
      <c r="P14" s="85"/>
      <c r="Q14" s="103"/>
    </row>
    <row r="15" ht="21" customHeight="1" spans="2:17">
      <c r="B15" s="119"/>
      <c r="C15" s="120"/>
      <c r="D15" s="1"/>
      <c r="E15" s="1"/>
      <c r="F15" s="1"/>
      <c r="G15" s="1"/>
      <c r="H15" s="1"/>
      <c r="J15" s="97"/>
      <c r="K15" s="85">
        <v>7</v>
      </c>
      <c r="L15" s="121" t="s">
        <v>44</v>
      </c>
      <c r="M15" s="122"/>
      <c r="N15" s="123" t="s">
        <v>45</v>
      </c>
      <c r="O15" s="123"/>
      <c r="P15" s="123"/>
      <c r="Q15" s="91"/>
    </row>
    <row r="16" ht="21" customHeight="1" spans="2:17">
      <c r="B16" s="119"/>
      <c r="C16" s="120"/>
      <c r="D16" s="1"/>
      <c r="E16" s="1"/>
      <c r="F16" s="1"/>
      <c r="G16" s="1"/>
      <c r="H16" s="1"/>
      <c r="J16" s="97"/>
      <c r="K16" s="118">
        <v>8</v>
      </c>
      <c r="L16" s="121" t="s">
        <v>46</v>
      </c>
      <c r="M16" s="122"/>
      <c r="N16" s="123"/>
      <c r="O16" s="123"/>
      <c r="P16" s="123"/>
      <c r="Q16" s="91"/>
    </row>
    <row r="17" ht="21" customHeight="1" spans="2:17">
      <c r="B17" s="119"/>
      <c r="C17" s="120"/>
      <c r="D17" s="1"/>
      <c r="E17" s="1"/>
      <c r="F17" s="1"/>
      <c r="G17" s="1"/>
      <c r="H17" s="1"/>
      <c r="J17" s="97"/>
      <c r="K17" s="85" t="s">
        <v>47</v>
      </c>
      <c r="L17" s="121"/>
      <c r="M17" s="122"/>
      <c r="N17" s="123"/>
      <c r="O17" s="123"/>
      <c r="P17" s="123"/>
      <c r="Q17" s="91"/>
    </row>
    <row r="18" ht="21" customHeight="1" spans="2:17">
      <c r="B18" s="119"/>
      <c r="C18" s="120"/>
      <c r="D18" s="1"/>
      <c r="E18" s="1"/>
      <c r="F18" s="1"/>
      <c r="G18" s="1"/>
      <c r="H18" s="1"/>
      <c r="J18" s="97"/>
      <c r="K18" s="117" t="s">
        <v>48</v>
      </c>
      <c r="L18" s="121" t="s">
        <v>49</v>
      </c>
      <c r="M18" s="122"/>
      <c r="N18" s="123" t="s">
        <v>45</v>
      </c>
      <c r="O18" s="123"/>
      <c r="P18" s="123"/>
      <c r="Q18" s="91"/>
    </row>
    <row r="19" ht="21" customHeight="1" spans="2:17">
      <c r="B19" s="119"/>
      <c r="C19" s="120"/>
      <c r="D19" s="1"/>
      <c r="E19" s="1"/>
      <c r="F19" s="1"/>
      <c r="G19" s="1"/>
      <c r="H19" s="1"/>
      <c r="J19" s="97"/>
      <c r="K19" s="85" t="s">
        <v>50</v>
      </c>
      <c r="L19" s="121" t="s">
        <v>51</v>
      </c>
      <c r="M19" s="122"/>
      <c r="N19" s="123"/>
      <c r="O19" s="123"/>
      <c r="P19" s="123"/>
      <c r="Q19" s="91"/>
    </row>
    <row r="20" ht="21" customHeight="1" spans="2:17">
      <c r="B20" s="119"/>
      <c r="C20" s="120"/>
      <c r="D20" s="1"/>
      <c r="E20" s="1"/>
      <c r="F20" s="1"/>
      <c r="G20" s="1"/>
      <c r="H20" s="1"/>
      <c r="J20" s="97"/>
      <c r="K20" s="117" t="s">
        <v>52</v>
      </c>
      <c r="L20" s="121" t="s">
        <v>41</v>
      </c>
      <c r="M20" s="122"/>
      <c r="N20" s="123"/>
      <c r="O20" s="123"/>
      <c r="P20" s="123"/>
      <c r="Q20" s="91"/>
    </row>
    <row r="21" ht="20.25" customHeight="1" spans="2:17">
      <c r="B21" s="124"/>
      <c r="C21" s="120"/>
      <c r="D21" s="1"/>
      <c r="E21" s="1"/>
      <c r="F21" s="1"/>
      <c r="G21" s="1"/>
      <c r="H21" s="1"/>
      <c r="J21" s="125"/>
    </row>
    <row r="22" ht="18" customHeight="1" spans="2:17">
      <c r="B22" s="97" t="s">
        <v>53</v>
      </c>
      <c r="C22" s="84" t="s">
        <v>26</v>
      </c>
      <c r="D22" s="94" t="s">
        <v>27</v>
      </c>
      <c r="E22" s="95"/>
      <c r="F22" s="94" t="s">
        <v>28</v>
      </c>
      <c r="G22" s="96"/>
      <c r="H22" s="95"/>
    </row>
    <row r="23" ht="16.5" customHeight="1" spans="2:17">
      <c r="B23" s="97"/>
      <c r="C23" s="85">
        <v>0</v>
      </c>
      <c r="D23" s="100" t="s">
        <v>29</v>
      </c>
      <c r="E23" s="101"/>
      <c r="F23" s="100"/>
      <c r="G23" s="102"/>
      <c r="H23" s="101"/>
      <c r="J23" s="93" t="s">
        <v>53</v>
      </c>
      <c r="K23" s="84" t="s">
        <v>26</v>
      </c>
      <c r="L23" s="94" t="s">
        <v>27</v>
      </c>
      <c r="M23" s="95"/>
      <c r="N23" s="94" t="s">
        <v>28</v>
      </c>
      <c r="O23" s="96"/>
      <c r="P23" s="95"/>
    </row>
    <row r="24" ht="16.5" customHeight="1" spans="2:17">
      <c r="B24" s="97"/>
      <c r="C24" s="85">
        <v>1</v>
      </c>
      <c r="D24" s="100" t="s">
        <v>30</v>
      </c>
      <c r="E24" s="101"/>
      <c r="F24" s="85"/>
      <c r="G24" s="85"/>
      <c r="H24" s="85"/>
      <c r="J24" s="99"/>
      <c r="K24" s="85">
        <v>0</v>
      </c>
      <c r="L24" s="100" t="s">
        <v>29</v>
      </c>
      <c r="M24" s="101"/>
      <c r="N24" s="100"/>
      <c r="O24" s="102"/>
      <c r="P24" s="101"/>
    </row>
    <row r="25" ht="16.5" customHeight="1" spans="2:17">
      <c r="B25" s="97"/>
      <c r="C25" s="85">
        <v>2</v>
      </c>
      <c r="D25" s="100" t="s">
        <v>54</v>
      </c>
      <c r="E25" s="101"/>
      <c r="F25" s="85" t="s">
        <v>55</v>
      </c>
      <c r="G25" s="85"/>
      <c r="H25" s="85"/>
      <c r="J25" s="99"/>
      <c r="K25" s="85">
        <v>1</v>
      </c>
      <c r="L25" s="100" t="s">
        <v>31</v>
      </c>
      <c r="M25" s="101"/>
      <c r="N25" s="100"/>
      <c r="O25" s="102"/>
      <c r="P25" s="101"/>
    </row>
    <row r="26" ht="16.5" customHeight="1" spans="2:17">
      <c r="B26" s="97"/>
      <c r="C26" s="126">
        <v>3</v>
      </c>
      <c r="D26" s="100" t="s">
        <v>32</v>
      </c>
      <c r="E26" s="101"/>
      <c r="F26" s="85" t="s">
        <v>45</v>
      </c>
      <c r="G26" s="85"/>
      <c r="H26" s="85"/>
      <c r="J26" s="99"/>
      <c r="K26" s="85">
        <v>2</v>
      </c>
      <c r="L26" s="100" t="s">
        <v>32</v>
      </c>
      <c r="M26" s="101"/>
      <c r="N26" s="104" t="s">
        <v>56</v>
      </c>
      <c r="O26" s="105"/>
      <c r="P26" s="106"/>
    </row>
    <row r="27" ht="16.5" customHeight="1" spans="2:17">
      <c r="B27" s="97"/>
      <c r="C27" s="90"/>
      <c r="D27" s="100" t="s">
        <v>34</v>
      </c>
      <c r="E27" s="101"/>
      <c r="F27" s="85"/>
      <c r="G27" s="85"/>
      <c r="H27" s="85"/>
      <c r="J27" s="99"/>
      <c r="K27" s="85">
        <v>3</v>
      </c>
      <c r="L27" s="100" t="s">
        <v>34</v>
      </c>
      <c r="M27" s="101"/>
      <c r="N27" s="107"/>
      <c r="O27" s="108"/>
      <c r="P27" s="109"/>
    </row>
    <row r="28" ht="16.5" customHeight="1" spans="2:17">
      <c r="B28" s="97"/>
      <c r="C28" s="85" t="s">
        <v>47</v>
      </c>
      <c r="D28" s="100"/>
      <c r="E28" s="101"/>
      <c r="F28" s="85"/>
      <c r="G28" s="85"/>
      <c r="H28" s="85"/>
      <c r="J28" s="99"/>
      <c r="K28" s="85">
        <v>4</v>
      </c>
      <c r="L28" s="100" t="s">
        <v>37</v>
      </c>
      <c r="M28" s="101"/>
      <c r="N28" s="104" t="s">
        <v>56</v>
      </c>
      <c r="O28" s="105"/>
      <c r="P28" s="106"/>
    </row>
    <row r="29" ht="16.5" customHeight="1" spans="2:17">
      <c r="B29" s="97"/>
      <c r="C29" s="117" t="s">
        <v>57</v>
      </c>
      <c r="D29" s="100" t="s">
        <v>58</v>
      </c>
      <c r="E29" s="101"/>
      <c r="F29" s="85" t="s">
        <v>59</v>
      </c>
      <c r="G29" s="85"/>
      <c r="H29" s="85"/>
      <c r="J29" s="99"/>
      <c r="K29" s="85">
        <v>5</v>
      </c>
      <c r="L29" s="100" t="s">
        <v>40</v>
      </c>
      <c r="M29" s="101"/>
      <c r="N29" s="107"/>
      <c r="O29" s="108"/>
      <c r="P29" s="109"/>
    </row>
    <row r="30" ht="21" customHeight="1" spans="2:17">
      <c r="B30" s="97"/>
      <c r="C30" s="117" t="s">
        <v>60</v>
      </c>
      <c r="D30" s="100" t="s">
        <v>61</v>
      </c>
      <c r="E30" s="101"/>
      <c r="F30" s="85"/>
      <c r="G30" s="85"/>
      <c r="H30" s="85"/>
      <c r="J30" s="116"/>
      <c r="K30" s="117">
        <v>0.857142857142857</v>
      </c>
      <c r="L30" s="100" t="s">
        <v>41</v>
      </c>
      <c r="M30" s="101"/>
      <c r="N30" s="100"/>
      <c r="O30" s="102"/>
      <c r="P30" s="101"/>
    </row>
    <row r="31" spans="2:17">
      <c r="B31" s="97"/>
      <c r="C31" s="117" t="s">
        <v>62</v>
      </c>
      <c r="D31" s="100" t="s">
        <v>41</v>
      </c>
      <c r="E31" s="101"/>
      <c r="F31" s="127"/>
      <c r="G31" s="127"/>
      <c r="H31" s="127"/>
    </row>
    <row r="34" ht="30" customHeight="1" spans="2:16">
      <c r="B34" s="93" t="s">
        <v>63</v>
      </c>
      <c r="C34" s="84" t="s">
        <v>26</v>
      </c>
      <c r="D34" s="94" t="s">
        <v>27</v>
      </c>
      <c r="E34" s="95"/>
      <c r="F34" s="94" t="s">
        <v>28</v>
      </c>
      <c r="G34" s="96"/>
      <c r="H34" s="95"/>
      <c r="J34" s="97" t="s">
        <v>63</v>
      </c>
      <c r="K34" s="84" t="s">
        <v>26</v>
      </c>
      <c r="L34" s="94" t="s">
        <v>27</v>
      </c>
      <c r="M34" s="95"/>
      <c r="N34" s="94" t="s">
        <v>28</v>
      </c>
      <c r="O34" s="96"/>
      <c r="P34" s="95"/>
    </row>
    <row r="35" ht="19.5" customHeight="1" spans="2:16">
      <c r="B35" s="99"/>
      <c r="C35" s="85">
        <v>0</v>
      </c>
      <c r="D35" s="100" t="s">
        <v>29</v>
      </c>
      <c r="E35" s="101"/>
      <c r="F35" s="100"/>
      <c r="G35" s="102"/>
      <c r="H35" s="101"/>
      <c r="J35" s="97"/>
      <c r="K35" s="85">
        <v>0</v>
      </c>
      <c r="L35" s="100" t="s">
        <v>29</v>
      </c>
      <c r="M35" s="101"/>
      <c r="N35" s="100"/>
      <c r="O35" s="102"/>
      <c r="P35" s="101"/>
    </row>
    <row r="36" ht="20.25" customHeight="1" spans="2:16">
      <c r="B36" s="99"/>
      <c r="C36" s="85">
        <v>1</v>
      </c>
      <c r="D36" s="100" t="s">
        <v>64</v>
      </c>
      <c r="E36" s="101"/>
      <c r="F36" s="100" t="s">
        <v>65</v>
      </c>
      <c r="G36" s="102"/>
      <c r="H36" s="101"/>
      <c r="J36" s="97"/>
      <c r="K36" s="85">
        <v>1</v>
      </c>
      <c r="L36" s="100" t="s">
        <v>64</v>
      </c>
      <c r="M36" s="101"/>
      <c r="N36" s="100" t="s">
        <v>65</v>
      </c>
      <c r="O36" s="102"/>
      <c r="P36" s="101"/>
    </row>
    <row r="37" ht="55.5" customHeight="1" spans="2:16">
      <c r="B37" s="99"/>
      <c r="C37" s="85">
        <v>2</v>
      </c>
      <c r="D37" s="100" t="s">
        <v>66</v>
      </c>
      <c r="E37" s="101"/>
      <c r="F37" s="89" t="s">
        <v>67</v>
      </c>
      <c r="G37" s="89"/>
      <c r="H37" s="89"/>
      <c r="J37" s="97"/>
      <c r="K37" s="85">
        <v>2</v>
      </c>
      <c r="L37" s="100" t="s">
        <v>66</v>
      </c>
      <c r="M37" s="101"/>
      <c r="N37" s="89" t="s">
        <v>67</v>
      </c>
      <c r="O37" s="89"/>
      <c r="P37" s="89"/>
    </row>
    <row r="38" ht="24" customHeight="1" spans="2:16">
      <c r="B38" s="99"/>
      <c r="C38" s="85" t="s">
        <v>68</v>
      </c>
      <c r="D38" s="100" t="s">
        <v>41</v>
      </c>
      <c r="E38" s="101"/>
      <c r="F38" s="107"/>
      <c r="G38" s="108"/>
      <c r="H38" s="109"/>
      <c r="J38" s="97"/>
      <c r="K38" s="85" t="s">
        <v>68</v>
      </c>
      <c r="L38" s="100" t="s">
        <v>41</v>
      </c>
      <c r="M38" s="101"/>
      <c r="N38" s="107"/>
      <c r="O38" s="108"/>
      <c r="P38" s="109"/>
    </row>
    <row r="41" ht="18" customHeight="1" spans="2:16">
      <c r="C41" s="128" t="s">
        <v>69</v>
      </c>
      <c r="D41" s="128"/>
      <c r="E41" s="128"/>
      <c r="F41" s="128"/>
      <c r="G41" s="128"/>
      <c r="H41" s="128"/>
      <c r="K41" s="128" t="s">
        <v>70</v>
      </c>
      <c r="L41" s="128"/>
      <c r="M41" s="128"/>
      <c r="N41" s="128"/>
      <c r="O41" s="128"/>
      <c r="P41" s="128"/>
    </row>
    <row r="42" ht="19.5" customHeight="1" spans="2:16">
      <c r="C42" s="128"/>
      <c r="D42" s="128"/>
      <c r="E42" s="128"/>
      <c r="F42" s="128"/>
      <c r="G42" s="128"/>
      <c r="H42" s="128"/>
      <c r="K42" s="128"/>
      <c r="L42" s="128"/>
      <c r="M42" s="128"/>
      <c r="N42" s="128"/>
      <c r="O42" s="128"/>
      <c r="P42" s="128"/>
    </row>
    <row r="43" ht="49.5" customHeight="1" spans="2:16">
      <c r="C43" s="128"/>
      <c r="D43" s="128"/>
      <c r="E43" s="128"/>
      <c r="F43" s="128"/>
      <c r="G43" s="128"/>
      <c r="H43" s="128"/>
      <c r="K43" s="128"/>
      <c r="L43" s="128"/>
      <c r="M43" s="128"/>
      <c r="N43" s="128"/>
      <c r="O43" s="128"/>
      <c r="P43" s="128"/>
    </row>
    <row r="44" ht="102" customHeight="1" spans="2:16">
      <c r="C44" s="128"/>
      <c r="D44" s="128"/>
      <c r="E44" s="128"/>
      <c r="F44" s="128"/>
      <c r="G44" s="128"/>
      <c r="H44" s="128"/>
      <c r="K44" s="128"/>
      <c r="L44" s="128"/>
      <c r="M44" s="128"/>
      <c r="N44" s="128"/>
      <c r="O44" s="128"/>
      <c r="P44" s="128"/>
    </row>
    <row r="45" spans="2:16">
      <c r="C45" s="129"/>
      <c r="D45" s="129"/>
      <c r="E45" s="129"/>
      <c r="F45" s="129"/>
      <c r="G45" s="129"/>
      <c r="H45" s="129"/>
    </row>
    <row r="46" spans="2:16">
      <c r="C46" s="129"/>
      <c r="D46" s="129"/>
      <c r="E46" s="129"/>
      <c r="F46" s="129"/>
      <c r="G46" s="129"/>
      <c r="H46" s="129"/>
    </row>
    <row r="47" spans="2:16">
      <c r="C47" s="129"/>
      <c r="D47" s="129"/>
      <c r="E47" s="129"/>
      <c r="F47" s="129"/>
      <c r="G47" s="129"/>
      <c r="H47" s="129"/>
    </row>
  </sheetData>
  <sheetProtection formatCells="0" formatColumns="0" formatRows="0" insertRows="0" insertColumns="0" insertHyperlinks="0" deleteColumns="0" deleteRows="0" sort="0" autoFilter="0" pivotTables="0"/>
  <mergeCells count="109">
    <mergeCell ref="C2:G2"/>
    <mergeCell ref="N2:P2"/>
    <mergeCell ref="C3:G3"/>
    <mergeCell ref="N3:P3"/>
    <mergeCell ref="C4:H4"/>
    <mergeCell ref="N4:P4"/>
    <mergeCell ref="C6:H6"/>
    <mergeCell ref="J6:P6"/>
    <mergeCell ref="D7:E7"/>
    <mergeCell ref="F7:H7"/>
    <mergeCell ref="L7:M7"/>
    <mergeCell ref="N7:P7"/>
    <mergeCell ref="D8:E8"/>
    <mergeCell ref="F8:H8"/>
    <mergeCell ref="L8:M8"/>
    <mergeCell ref="N8:P8"/>
    <mergeCell ref="D9:E9"/>
    <mergeCell ref="F9:H9"/>
    <mergeCell ref="L9:M9"/>
    <mergeCell ref="N9:P9"/>
    <mergeCell ref="D10:E10"/>
    <mergeCell ref="L10:M10"/>
    <mergeCell ref="N10:P10"/>
    <mergeCell ref="D11:E11"/>
    <mergeCell ref="L11:M11"/>
    <mergeCell ref="N11:P11"/>
    <mergeCell ref="D12:E12"/>
    <mergeCell ref="L12:M12"/>
    <mergeCell ref="D13:E13"/>
    <mergeCell ref="L13:M13"/>
    <mergeCell ref="D14:E14"/>
    <mergeCell ref="F14:H14"/>
    <mergeCell ref="L14:M14"/>
    <mergeCell ref="N14:P14"/>
    <mergeCell ref="L15:M15"/>
    <mergeCell ref="L16:M16"/>
    <mergeCell ref="L17:M17"/>
    <mergeCell ref="N17:P17"/>
    <mergeCell ref="L18:M18"/>
    <mergeCell ref="L19:M19"/>
    <mergeCell ref="L20:M20"/>
    <mergeCell ref="N20:P20"/>
    <mergeCell ref="D22:E22"/>
    <mergeCell ref="F22:H22"/>
    <mergeCell ref="D23:E23"/>
    <mergeCell ref="F23:H23"/>
    <mergeCell ref="L23:M23"/>
    <mergeCell ref="N23:P23"/>
    <mergeCell ref="D24:E24"/>
    <mergeCell ref="F24:H24"/>
    <mergeCell ref="L24:M24"/>
    <mergeCell ref="N24:P24"/>
    <mergeCell ref="D25:E25"/>
    <mergeCell ref="F25:H25"/>
    <mergeCell ref="L25:M25"/>
    <mergeCell ref="N25:P25"/>
    <mergeCell ref="D26:E26"/>
    <mergeCell ref="L26:M26"/>
    <mergeCell ref="D27:E27"/>
    <mergeCell ref="L27:M27"/>
    <mergeCell ref="D28:E28"/>
    <mergeCell ref="F28:H28"/>
    <mergeCell ref="L28:M28"/>
    <mergeCell ref="D29:E29"/>
    <mergeCell ref="L29:M29"/>
    <mergeCell ref="D30:E30"/>
    <mergeCell ref="L30:M30"/>
    <mergeCell ref="N30:P30"/>
    <mergeCell ref="D31:E31"/>
    <mergeCell ref="F31:H31"/>
    <mergeCell ref="D34:E34"/>
    <mergeCell ref="F34:H34"/>
    <mergeCell ref="L34:M34"/>
    <mergeCell ref="N34:P34"/>
    <mergeCell ref="D35:E35"/>
    <mergeCell ref="F35:H35"/>
    <mergeCell ref="L35:M35"/>
    <mergeCell ref="N35:P35"/>
    <mergeCell ref="D36:E36"/>
    <mergeCell ref="F36:H36"/>
    <mergeCell ref="L36:M36"/>
    <mergeCell ref="N36:P36"/>
    <mergeCell ref="D37:E37"/>
    <mergeCell ref="F37:H37"/>
    <mergeCell ref="L37:M37"/>
    <mergeCell ref="N37:P37"/>
    <mergeCell ref="D38:E38"/>
    <mergeCell ref="F38:H38"/>
    <mergeCell ref="L38:M38"/>
    <mergeCell ref="N38:P38"/>
    <mergeCell ref="B7:B14"/>
    <mergeCell ref="B22:B31"/>
    <mergeCell ref="B34:B38"/>
    <mergeCell ref="C26:C27"/>
    <mergeCell ref="J3:J4"/>
    <mergeCell ref="J7:J20"/>
    <mergeCell ref="J23:J30"/>
    <mergeCell ref="J34:J38"/>
    <mergeCell ref="F10:H11"/>
    <mergeCell ref="F12:H13"/>
    <mergeCell ref="N12:P13"/>
    <mergeCell ref="N15:P16"/>
    <mergeCell ref="N18:P19"/>
    <mergeCell ref="F26:H27"/>
    <mergeCell ref="N26:P27"/>
    <mergeCell ref="N28:P29"/>
    <mergeCell ref="F29:H30"/>
    <mergeCell ref="C41:H44"/>
    <mergeCell ref="K41:P44"/>
  </mergeCells>
  <pageMargins left="0.700787401574803" right="0.700787401574803" top="0.751968503937008" bottom="0.751968503937008" header="0.299212598425197" footer="0.299212598425197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zoomScale="80" zoomScaleNormal="80" workbookViewId="0">
      <selection activeCell="E20" sqref="E20"/>
    </sheetView>
  </sheetViews>
  <sheetFormatPr defaultColWidth="8.75833333333333" defaultRowHeight="18.75" outlineLevelCol="6"/>
  <cols>
    <col min="1" max="1" width="21" style="71" customWidth="1"/>
    <col min="2" max="2" width="22.875" style="71" customWidth="1"/>
    <col min="3" max="3" width="22" style="71" customWidth="1"/>
    <col min="4" max="4" width="10.375" style="71" customWidth="1"/>
    <col min="5" max="6" width="8.75833333333333" style="71"/>
    <col min="7" max="7" width="22.6083333333333" style="71" customWidth="1"/>
    <col min="8" max="1023" width="8.75833333333333" style="71"/>
  </cols>
  <sheetData>
    <row r="1" spans="1:7">
      <c r="A1" s="28"/>
      <c r="B1" s="28"/>
      <c r="C1" s="28"/>
      <c r="D1" s="28"/>
      <c r="E1" s="28"/>
      <c r="F1" s="28"/>
      <c r="G1" s="28"/>
    </row>
    <row r="2" ht="35.25" spans="1:7">
      <c r="A2" s="31" t="s">
        <v>71</v>
      </c>
      <c r="B2" s="31"/>
      <c r="C2" s="31"/>
      <c r="D2" s="31"/>
      <c r="E2" s="31"/>
      <c r="F2" s="31"/>
      <c r="G2" s="31"/>
    </row>
    <row r="3" ht="56.25" spans="1:7">
      <c r="A3" s="28" t="s">
        <v>72</v>
      </c>
      <c r="B3" s="28" t="s">
        <v>73</v>
      </c>
      <c r="C3" s="28" t="s">
        <v>74</v>
      </c>
      <c r="D3" s="41" t="s">
        <v>75</v>
      </c>
      <c r="E3" s="72" t="s">
        <v>76</v>
      </c>
      <c r="F3" s="72" t="s">
        <v>77</v>
      </c>
      <c r="G3" s="28" t="s">
        <v>12</v>
      </c>
    </row>
    <row r="4" spans="1:7">
      <c r="A4" s="28" t="s">
        <v>78</v>
      </c>
      <c r="B4" s="28">
        <v>0</v>
      </c>
      <c r="C4" s="28">
        <f>B5-1</f>
        <v>255</v>
      </c>
      <c r="D4" s="73">
        <v>1</v>
      </c>
      <c r="E4" s="74" t="s">
        <v>79</v>
      </c>
      <c r="F4" s="73">
        <v>256</v>
      </c>
      <c r="G4" s="55" t="s">
        <v>79</v>
      </c>
    </row>
    <row r="5" spans="1:7">
      <c r="A5" s="28" t="s">
        <v>80</v>
      </c>
      <c r="B5" s="28">
        <f>B4+D4*F4</f>
        <v>256</v>
      </c>
      <c r="C5" s="28">
        <f t="shared" ref="C5:C16" si="0">B6-1</f>
        <v>383</v>
      </c>
      <c r="D5" s="73">
        <v>1</v>
      </c>
      <c r="E5" s="75"/>
      <c r="F5" s="73">
        <v>128</v>
      </c>
      <c r="G5" s="68"/>
    </row>
    <row r="6" spans="1:7">
      <c r="A6" s="28" t="s">
        <v>81</v>
      </c>
      <c r="B6" s="28">
        <f>B5+D5*F5</f>
        <v>384</v>
      </c>
      <c r="C6" s="28">
        <f t="shared" si="0"/>
        <v>1407</v>
      </c>
      <c r="D6" s="73">
        <v>4</v>
      </c>
      <c r="E6" s="75"/>
      <c r="F6" s="73">
        <v>256</v>
      </c>
      <c r="G6" s="24"/>
    </row>
    <row r="7" spans="1:7">
      <c r="A7" s="55" t="s">
        <v>82</v>
      </c>
      <c r="B7" s="28">
        <f>B6+D6*F6</f>
        <v>1408</v>
      </c>
      <c r="C7" s="28">
        <f t="shared" si="0"/>
        <v>1919</v>
      </c>
      <c r="D7" s="73">
        <v>2</v>
      </c>
      <c r="E7" s="75"/>
      <c r="F7" s="73">
        <v>256</v>
      </c>
      <c r="G7" s="28" t="s">
        <v>83</v>
      </c>
    </row>
    <row r="8" spans="1:7">
      <c r="A8" s="24"/>
      <c r="B8" s="28">
        <f>B7+D7*F7</f>
        <v>1920</v>
      </c>
      <c r="C8" s="28">
        <f t="shared" si="0"/>
        <v>2175</v>
      </c>
      <c r="D8" s="73">
        <v>1</v>
      </c>
      <c r="E8" s="75"/>
      <c r="F8" s="73">
        <v>256</v>
      </c>
      <c r="G8" s="28" t="s">
        <v>84</v>
      </c>
    </row>
    <row r="9" spans="1:7">
      <c r="A9" s="24" t="s">
        <v>85</v>
      </c>
      <c r="B9" s="28">
        <f t="shared" ref="B9:B16" si="1">B8+D8*F8</f>
        <v>2176</v>
      </c>
      <c r="C9" s="28">
        <f t="shared" si="0"/>
        <v>3199</v>
      </c>
      <c r="D9" s="73">
        <v>4</v>
      </c>
      <c r="E9" s="75"/>
      <c r="F9" s="73">
        <v>256</v>
      </c>
      <c r="G9" s="55" t="s">
        <v>79</v>
      </c>
    </row>
    <row r="10" spans="1:7">
      <c r="A10" s="28" t="s">
        <v>86</v>
      </c>
      <c r="B10" s="28">
        <f t="shared" si="1"/>
        <v>3200</v>
      </c>
      <c r="C10" s="28">
        <f t="shared" si="0"/>
        <v>7295</v>
      </c>
      <c r="D10" s="73">
        <v>16</v>
      </c>
      <c r="E10" s="76"/>
      <c r="F10" s="73">
        <v>256</v>
      </c>
      <c r="G10" s="68"/>
    </row>
    <row r="11" spans="1:7">
      <c r="A11" s="28" t="s">
        <v>87</v>
      </c>
      <c r="B11" s="28">
        <f t="shared" si="1"/>
        <v>7296</v>
      </c>
      <c r="C11" s="28">
        <f t="shared" si="0"/>
        <v>23679</v>
      </c>
      <c r="D11" s="73">
        <v>32</v>
      </c>
      <c r="E11" s="73">
        <v>2</v>
      </c>
      <c r="F11" s="73">
        <v>512</v>
      </c>
      <c r="G11" s="68"/>
    </row>
    <row r="12" spans="1:7">
      <c r="A12" s="28" t="s">
        <v>88</v>
      </c>
      <c r="B12" s="28">
        <f t="shared" si="1"/>
        <v>23680</v>
      </c>
      <c r="C12" s="28">
        <f t="shared" si="0"/>
        <v>40063</v>
      </c>
      <c r="D12" s="73">
        <v>128</v>
      </c>
      <c r="E12" s="73">
        <v>8</v>
      </c>
      <c r="F12" s="73">
        <v>128</v>
      </c>
      <c r="G12" s="68"/>
    </row>
    <row r="13" spans="1:7">
      <c r="A13" s="28" t="s">
        <v>89</v>
      </c>
      <c r="B13" s="28">
        <f t="shared" si="1"/>
        <v>40064</v>
      </c>
      <c r="C13" s="28">
        <f t="shared" si="0"/>
        <v>48255</v>
      </c>
      <c r="D13" s="73">
        <v>32</v>
      </c>
      <c r="E13" s="73">
        <v>2</v>
      </c>
      <c r="F13" s="73">
        <v>256</v>
      </c>
      <c r="G13" s="68"/>
    </row>
    <row r="14" spans="1:7">
      <c r="A14" s="28" t="s">
        <v>90</v>
      </c>
      <c r="B14" s="28">
        <f t="shared" si="1"/>
        <v>48256</v>
      </c>
      <c r="C14" s="28">
        <f t="shared" si="0"/>
        <v>52351</v>
      </c>
      <c r="D14" s="73">
        <v>16</v>
      </c>
      <c r="E14" s="73">
        <v>1</v>
      </c>
      <c r="F14" s="73">
        <v>256</v>
      </c>
      <c r="G14" s="68"/>
    </row>
    <row r="15" spans="1:7">
      <c r="A15" s="28" t="s">
        <v>91</v>
      </c>
      <c r="B15" s="28">
        <f t="shared" si="1"/>
        <v>52352</v>
      </c>
      <c r="C15" s="28">
        <f t="shared" si="0"/>
        <v>60543</v>
      </c>
      <c r="D15" s="73">
        <v>64</v>
      </c>
      <c r="E15" s="73">
        <v>4</v>
      </c>
      <c r="F15" s="73">
        <v>128</v>
      </c>
      <c r="G15" s="68"/>
    </row>
    <row r="16" spans="1:7">
      <c r="A16" s="28" t="s">
        <v>92</v>
      </c>
      <c r="B16" s="28">
        <f t="shared" si="1"/>
        <v>60544</v>
      </c>
      <c r="C16" s="28">
        <f>B16+D16*F16</f>
        <v>64640</v>
      </c>
      <c r="D16" s="73">
        <v>64</v>
      </c>
      <c r="E16" s="73">
        <v>4</v>
      </c>
      <c r="F16" s="73">
        <v>64</v>
      </c>
      <c r="G16" s="24"/>
    </row>
    <row r="17" spans="1:7">
      <c r="A17" s="77"/>
      <c r="B17" s="77"/>
      <c r="C17" s="77"/>
      <c r="D17" s="77"/>
      <c r="E17" s="77"/>
      <c r="F17" s="77"/>
      <c r="G17" s="77"/>
    </row>
    <row r="18" spans="1:7">
      <c r="A18" s="77"/>
      <c r="B18" s="77"/>
      <c r="C18" s="77"/>
      <c r="D18" s="77"/>
      <c r="E18" s="77"/>
      <c r="F18" s="77"/>
      <c r="G18" s="77"/>
    </row>
    <row r="19" spans="1:7">
      <c r="A19" s="77"/>
      <c r="B19" s="77"/>
      <c r="C19" s="77"/>
      <c r="D19" s="77"/>
      <c r="E19" s="77"/>
      <c r="F19" s="77"/>
      <c r="G19" s="77"/>
    </row>
    <row r="20" spans="1:7">
      <c r="A20" s="77"/>
      <c r="B20" s="77"/>
      <c r="C20" s="77"/>
      <c r="D20" s="77"/>
      <c r="E20" s="77"/>
      <c r="F20" s="77"/>
      <c r="G20" s="77"/>
    </row>
  </sheetData>
  <sheetProtection formatCells="0" formatColumns="0" formatRows="0" insertRows="0" insertColumns="0" insertHyperlinks="0" deleteColumns="0" deleteRows="0" sort="0" autoFilter="0" pivotTables="0"/>
  <mergeCells count="6">
    <mergeCell ref="A1:G1"/>
    <mergeCell ref="A2:G2"/>
    <mergeCell ref="A7:A8"/>
    <mergeCell ref="E4:E10"/>
    <mergeCell ref="G4:G6"/>
    <mergeCell ref="G9:G16"/>
  </mergeCells>
  <pageMargins left="0.751968503937008" right="0.751968503937008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402"/>
  <sheetViews>
    <sheetView tabSelected="1" zoomScale="70" zoomScaleNormal="70" workbookViewId="0">
      <pane ySplit="3" topLeftCell="A839" activePane="bottomLeft" state="frozen"/>
      <selection/>
      <selection pane="bottomLeft" activeCell="I851" sqref="I851"/>
    </sheetView>
  </sheetViews>
  <sheetFormatPr defaultColWidth="9" defaultRowHeight="13.5"/>
  <cols>
    <col min="1" max="1" width="9" style="35"/>
    <col min="2" max="2" width="19.125" style="35" customWidth="1"/>
    <col min="3" max="3" width="7.5" style="35" customWidth="1"/>
    <col min="4" max="4" width="45.8916666666667" style="35" customWidth="1"/>
    <col min="5" max="5" width="20.375" style="35" customWidth="1"/>
    <col min="6" max="6" width="10.875" style="35" customWidth="1"/>
    <col min="7" max="7" width="5.875" style="35" customWidth="1"/>
    <col min="8" max="8" width="38.3916666666667" style="35" customWidth="1"/>
    <col min="9" max="9" width="12.8666666666667" style="35" customWidth="1"/>
    <col min="10" max="10" width="10.875" style="35" customWidth="1"/>
    <col min="11" max="11" width="8.375" style="35" customWidth="1"/>
    <col min="12" max="12" width="65.875" style="35" customWidth="1"/>
    <col min="13" max="13" width="25.8333333333333" style="35" customWidth="1"/>
    <col min="14" max="14" width="55.3416666666667" style="35" customWidth="1"/>
    <col min="15" max="16384" width="9" style="35"/>
  </cols>
  <sheetData>
    <row r="1" s="33" customFormat="1" ht="18.75" spans="2:13">
      <c r="B1" s="36"/>
      <c r="D1"/>
    </row>
    <row r="2" s="33" customFormat="1" ht="35.25" spans="2:13">
      <c r="B2" s="37" t="s">
        <v>93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="33" customFormat="1" ht="56.25" spans="2:13">
      <c r="B3" s="25" t="s">
        <v>94</v>
      </c>
      <c r="C3" s="25" t="s">
        <v>95</v>
      </c>
      <c r="D3" s="25" t="s">
        <v>96</v>
      </c>
      <c r="E3" s="25" t="s">
        <v>97</v>
      </c>
      <c r="F3" s="25" t="s">
        <v>98</v>
      </c>
      <c r="G3" s="25" t="s">
        <v>99</v>
      </c>
      <c r="H3" s="25" t="s">
        <v>100</v>
      </c>
      <c r="I3" s="25" t="s">
        <v>101</v>
      </c>
      <c r="J3" s="25" t="s">
        <v>102</v>
      </c>
      <c r="K3" s="25" t="s">
        <v>103</v>
      </c>
      <c r="L3" s="25" t="s">
        <v>104</v>
      </c>
      <c r="M3" s="28" t="s">
        <v>105</v>
      </c>
    </row>
    <row r="4" s="33" customFormat="1" ht="18.75" spans="2:13">
      <c r="B4" s="39" t="s">
        <v>106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28"/>
    </row>
    <row r="5" ht="18.75" spans="2:13">
      <c r="B5" s="28">
        <v>0</v>
      </c>
      <c r="C5" s="41">
        <v>2</v>
      </c>
      <c r="D5" s="42" t="s">
        <v>107</v>
      </c>
      <c r="E5" s="41" t="s">
        <v>108</v>
      </c>
      <c r="F5" s="28" t="s">
        <v>109</v>
      </c>
      <c r="G5" s="41"/>
      <c r="H5" s="41" t="s">
        <v>110</v>
      </c>
      <c r="I5" s="41" t="s">
        <v>110</v>
      </c>
      <c r="J5" s="41">
        <v>1</v>
      </c>
      <c r="K5" s="41"/>
      <c r="L5" s="43" t="s">
        <v>111</v>
      </c>
      <c r="M5" s="28"/>
    </row>
    <row r="6" ht="18.75" spans="2:13">
      <c r="B6" s="28">
        <f t="shared" ref="B6:B56" si="0">B5+C5</f>
        <v>2</v>
      </c>
      <c r="C6" s="41">
        <v>1</v>
      </c>
      <c r="D6" s="42" t="s">
        <v>112</v>
      </c>
      <c r="E6" s="41" t="s">
        <v>113</v>
      </c>
      <c r="F6" s="28" t="s">
        <v>109</v>
      </c>
      <c r="G6" s="41"/>
      <c r="H6" s="41" t="s">
        <v>114</v>
      </c>
      <c r="I6" s="41" t="s">
        <v>114</v>
      </c>
      <c r="J6" s="41">
        <v>1</v>
      </c>
      <c r="K6" s="41"/>
      <c r="L6" s="43" t="s">
        <v>115</v>
      </c>
      <c r="M6" s="44" t="s">
        <v>116</v>
      </c>
    </row>
    <row r="7" ht="18.75" spans="2:13">
      <c r="B7" s="28">
        <f t="shared" si="0"/>
        <v>3</v>
      </c>
      <c r="C7" s="41">
        <v>1</v>
      </c>
      <c r="D7" s="42" t="s">
        <v>117</v>
      </c>
      <c r="E7" s="41" t="s">
        <v>118</v>
      </c>
      <c r="F7" s="28" t="s">
        <v>109</v>
      </c>
      <c r="G7" s="41"/>
      <c r="H7" s="41" t="s">
        <v>114</v>
      </c>
      <c r="I7" s="41" t="s">
        <v>114</v>
      </c>
      <c r="J7" s="41">
        <v>1</v>
      </c>
      <c r="K7" s="41"/>
      <c r="L7" s="43" t="s">
        <v>119</v>
      </c>
      <c r="M7" s="44" t="s">
        <v>116</v>
      </c>
    </row>
    <row r="8" ht="18.75" spans="2:13">
      <c r="B8" s="28">
        <f t="shared" si="0"/>
        <v>4</v>
      </c>
      <c r="C8" s="25">
        <v>2</v>
      </c>
      <c r="D8" s="42" t="s">
        <v>120</v>
      </c>
      <c r="E8" s="41" t="s">
        <v>121</v>
      </c>
      <c r="F8" s="28" t="s">
        <v>109</v>
      </c>
      <c r="G8" s="28"/>
      <c r="H8" s="41" t="s">
        <v>110</v>
      </c>
      <c r="I8" s="41" t="s">
        <v>110</v>
      </c>
      <c r="J8" s="41">
        <v>1</v>
      </c>
      <c r="K8" s="28"/>
      <c r="L8" s="43"/>
      <c r="M8" s="28"/>
    </row>
    <row r="9" ht="18.75" spans="2:13">
      <c r="B9" s="28">
        <f t="shared" si="0"/>
        <v>6</v>
      </c>
      <c r="C9" s="25">
        <v>2</v>
      </c>
      <c r="D9" s="42" t="s">
        <v>122</v>
      </c>
      <c r="E9" s="41" t="s">
        <v>123</v>
      </c>
      <c r="F9" s="28" t="s">
        <v>109</v>
      </c>
      <c r="G9" s="28"/>
      <c r="H9" s="41" t="s">
        <v>110</v>
      </c>
      <c r="I9" s="41" t="s">
        <v>110</v>
      </c>
      <c r="J9" s="41">
        <v>1</v>
      </c>
      <c r="K9" s="28"/>
      <c r="L9" s="45"/>
      <c r="M9" s="28"/>
    </row>
    <row r="10" ht="18.75" spans="2:13">
      <c r="B10" s="28">
        <f t="shared" si="0"/>
        <v>8</v>
      </c>
      <c r="C10" s="25">
        <v>2</v>
      </c>
      <c r="D10" s="42" t="s">
        <v>124</v>
      </c>
      <c r="E10" s="41" t="s">
        <v>125</v>
      </c>
      <c r="F10" s="28" t="s">
        <v>109</v>
      </c>
      <c r="G10" s="28"/>
      <c r="H10" s="41" t="s">
        <v>110</v>
      </c>
      <c r="I10" s="41" t="s">
        <v>110</v>
      </c>
      <c r="J10" s="41">
        <v>1</v>
      </c>
      <c r="K10" s="28"/>
      <c r="L10" s="45"/>
      <c r="M10" s="28"/>
    </row>
    <row r="11" ht="18.75" spans="2:13">
      <c r="B11" s="28">
        <f t="shared" si="0"/>
        <v>10</v>
      </c>
      <c r="C11" s="25">
        <v>2</v>
      </c>
      <c r="D11" s="42" t="s">
        <v>126</v>
      </c>
      <c r="E11" s="41" t="s">
        <v>127</v>
      </c>
      <c r="F11" s="28" t="s">
        <v>109</v>
      </c>
      <c r="G11" s="28"/>
      <c r="H11" s="41" t="s">
        <v>110</v>
      </c>
      <c r="I11" s="41" t="s">
        <v>110</v>
      </c>
      <c r="J11" s="41">
        <v>1</v>
      </c>
      <c r="K11" s="28"/>
      <c r="L11" s="45"/>
      <c r="M11" s="28"/>
    </row>
    <row r="12" ht="18.75" spans="2:13">
      <c r="B12" s="28">
        <f t="shared" si="0"/>
        <v>12</v>
      </c>
      <c r="C12" s="25">
        <v>2</v>
      </c>
      <c r="D12" s="42" t="s">
        <v>128</v>
      </c>
      <c r="E12" s="41" t="s">
        <v>129</v>
      </c>
      <c r="F12" s="28" t="s">
        <v>109</v>
      </c>
      <c r="G12" s="28"/>
      <c r="H12" s="41" t="s">
        <v>110</v>
      </c>
      <c r="I12" s="41" t="s">
        <v>110</v>
      </c>
      <c r="J12" s="41">
        <v>1</v>
      </c>
      <c r="K12" s="28"/>
      <c r="L12" s="45"/>
      <c r="M12" s="28"/>
    </row>
    <row r="13" ht="18.75" spans="2:13">
      <c r="B13" s="28">
        <f t="shared" si="0"/>
        <v>14</v>
      </c>
      <c r="C13" s="25">
        <v>2</v>
      </c>
      <c r="D13" s="42" t="s">
        <v>130</v>
      </c>
      <c r="E13" s="41" t="s">
        <v>131</v>
      </c>
      <c r="F13" s="28" t="s">
        <v>109</v>
      </c>
      <c r="G13" s="28"/>
      <c r="H13" s="41" t="s">
        <v>110</v>
      </c>
      <c r="I13" s="41" t="s">
        <v>110</v>
      </c>
      <c r="J13" s="41">
        <v>1</v>
      </c>
      <c r="K13" s="28"/>
      <c r="L13" s="45"/>
      <c r="M13" s="28"/>
    </row>
    <row r="14" ht="18.75" spans="2:13">
      <c r="B14" s="28">
        <f t="shared" si="0"/>
        <v>16</v>
      </c>
      <c r="C14" s="25">
        <v>2</v>
      </c>
      <c r="D14" s="42" t="s">
        <v>132</v>
      </c>
      <c r="E14" s="41" t="s">
        <v>133</v>
      </c>
      <c r="F14" s="28" t="s">
        <v>109</v>
      </c>
      <c r="G14" s="28"/>
      <c r="H14" s="41" t="s">
        <v>110</v>
      </c>
      <c r="I14" s="41" t="s">
        <v>110</v>
      </c>
      <c r="J14" s="41">
        <v>1</v>
      </c>
      <c r="K14" s="28"/>
      <c r="L14" s="45"/>
      <c r="M14" s="28"/>
    </row>
    <row r="15" ht="18.75" spans="2:13">
      <c r="B15" s="28">
        <f t="shared" si="0"/>
        <v>18</v>
      </c>
      <c r="C15" s="25">
        <v>2</v>
      </c>
      <c r="D15" s="42" t="s">
        <v>134</v>
      </c>
      <c r="E15" s="41" t="s">
        <v>135</v>
      </c>
      <c r="F15" s="28" t="s">
        <v>109</v>
      </c>
      <c r="G15" s="28"/>
      <c r="H15" s="41" t="s">
        <v>110</v>
      </c>
      <c r="I15" s="41" t="s">
        <v>110</v>
      </c>
      <c r="J15" s="41">
        <v>1</v>
      </c>
      <c r="K15" s="28"/>
      <c r="L15" s="45"/>
      <c r="M15" s="28"/>
    </row>
    <row r="16" ht="18.75" spans="2:13">
      <c r="B16" s="28">
        <f t="shared" si="0"/>
        <v>20</v>
      </c>
      <c r="C16" s="25">
        <v>2</v>
      </c>
      <c r="D16" s="42" t="s">
        <v>136</v>
      </c>
      <c r="E16" s="41" t="s">
        <v>137</v>
      </c>
      <c r="F16" s="28" t="s">
        <v>109</v>
      </c>
      <c r="G16" s="28"/>
      <c r="H16" s="41" t="s">
        <v>110</v>
      </c>
      <c r="I16" s="41" t="s">
        <v>110</v>
      </c>
      <c r="J16" s="41">
        <v>1</v>
      </c>
      <c r="K16" s="28"/>
      <c r="L16" s="45"/>
      <c r="M16" s="28"/>
    </row>
    <row r="17" ht="18.75" spans="2:13">
      <c r="B17" s="28">
        <f t="shared" si="0"/>
        <v>22</v>
      </c>
      <c r="C17" s="25">
        <v>2</v>
      </c>
      <c r="D17" s="42" t="s">
        <v>138</v>
      </c>
      <c r="E17" s="41" t="s">
        <v>139</v>
      </c>
      <c r="F17" s="28" t="s">
        <v>109</v>
      </c>
      <c r="G17" s="28"/>
      <c r="H17" s="41" t="s">
        <v>110</v>
      </c>
      <c r="I17" s="41" t="s">
        <v>110</v>
      </c>
      <c r="J17" s="41">
        <v>1</v>
      </c>
      <c r="K17" s="28"/>
      <c r="L17" s="45"/>
      <c r="M17" s="28"/>
    </row>
    <row r="18" ht="18.75" spans="2:13">
      <c r="B18" s="28">
        <f t="shared" si="0"/>
        <v>24</v>
      </c>
      <c r="C18" s="25">
        <v>2</v>
      </c>
      <c r="D18" s="42" t="s">
        <v>140</v>
      </c>
      <c r="E18" s="41" t="s">
        <v>141</v>
      </c>
      <c r="F18" s="28" t="s">
        <v>109</v>
      </c>
      <c r="G18" s="28"/>
      <c r="H18" s="41" t="s">
        <v>110</v>
      </c>
      <c r="I18" s="41" t="s">
        <v>110</v>
      </c>
      <c r="J18" s="41">
        <v>1</v>
      </c>
      <c r="K18" s="28"/>
      <c r="L18" s="45"/>
      <c r="M18" s="28"/>
    </row>
    <row r="19" ht="18.75" spans="2:13">
      <c r="B19" s="28">
        <f t="shared" si="0"/>
        <v>26</v>
      </c>
      <c r="C19" s="25">
        <v>2</v>
      </c>
      <c r="D19" s="42" t="s">
        <v>142</v>
      </c>
      <c r="E19" s="41" t="s">
        <v>143</v>
      </c>
      <c r="F19" s="28" t="s">
        <v>109</v>
      </c>
      <c r="G19" s="28"/>
      <c r="H19" s="41" t="s">
        <v>110</v>
      </c>
      <c r="I19" s="41" t="s">
        <v>110</v>
      </c>
      <c r="J19" s="41">
        <v>1</v>
      </c>
      <c r="K19" s="28"/>
      <c r="L19" s="45"/>
      <c r="M19" s="28"/>
    </row>
    <row r="20" ht="18.75" spans="2:13">
      <c r="B20" s="28">
        <f t="shared" si="0"/>
        <v>28</v>
      </c>
      <c r="C20" s="25">
        <v>2</v>
      </c>
      <c r="D20" s="42" t="s">
        <v>144</v>
      </c>
      <c r="E20" s="41" t="s">
        <v>145</v>
      </c>
      <c r="F20" s="28" t="s">
        <v>109</v>
      </c>
      <c r="G20" s="28"/>
      <c r="H20" s="41" t="s">
        <v>110</v>
      </c>
      <c r="I20" s="41" t="s">
        <v>110</v>
      </c>
      <c r="J20" s="41">
        <v>1</v>
      </c>
      <c r="K20" s="28"/>
      <c r="L20" s="45"/>
      <c r="M20" s="28"/>
    </row>
    <row r="21" ht="18.75" spans="2:13">
      <c r="B21" s="28">
        <f t="shared" si="0"/>
        <v>30</v>
      </c>
      <c r="C21" s="25">
        <v>2</v>
      </c>
      <c r="D21" s="42" t="s">
        <v>146</v>
      </c>
      <c r="E21" s="41" t="s">
        <v>147</v>
      </c>
      <c r="F21" s="28" t="s">
        <v>109</v>
      </c>
      <c r="G21" s="28"/>
      <c r="H21" s="41" t="s">
        <v>110</v>
      </c>
      <c r="I21" s="41" t="s">
        <v>110</v>
      </c>
      <c r="J21" s="41">
        <v>1</v>
      </c>
      <c r="K21" s="28"/>
      <c r="L21" s="45"/>
      <c r="M21" s="28"/>
    </row>
    <row r="22" ht="18.75" spans="2:13">
      <c r="B22" s="28">
        <f t="shared" si="0"/>
        <v>32</v>
      </c>
      <c r="C22" s="25">
        <v>4</v>
      </c>
      <c r="D22" s="42" t="s">
        <v>148</v>
      </c>
      <c r="E22" s="28" t="s">
        <v>148</v>
      </c>
      <c r="F22" s="28" t="s">
        <v>109</v>
      </c>
      <c r="G22" s="28" t="s">
        <v>149</v>
      </c>
      <c r="H22" s="25" t="s">
        <v>150</v>
      </c>
      <c r="I22" s="28" t="s">
        <v>151</v>
      </c>
      <c r="J22" s="28">
        <v>0.1</v>
      </c>
      <c r="K22" s="28"/>
      <c r="L22" s="45"/>
      <c r="M22" s="28"/>
    </row>
    <row r="23" ht="18.75" spans="2:13">
      <c r="B23" s="28">
        <f t="shared" si="0"/>
        <v>36</v>
      </c>
      <c r="C23" s="25">
        <v>4</v>
      </c>
      <c r="D23" s="42" t="s">
        <v>152</v>
      </c>
      <c r="E23" s="28" t="s">
        <v>152</v>
      </c>
      <c r="F23" s="28" t="s">
        <v>109</v>
      </c>
      <c r="G23" s="28" t="s">
        <v>149</v>
      </c>
      <c r="H23" s="25" t="s">
        <v>150</v>
      </c>
      <c r="I23" s="28" t="s">
        <v>151</v>
      </c>
      <c r="J23" s="28">
        <v>0.1</v>
      </c>
      <c r="K23" s="28"/>
      <c r="L23" s="45"/>
      <c r="M23" s="28"/>
    </row>
    <row r="24" ht="18.75" spans="2:13">
      <c r="B24" s="28">
        <f t="shared" si="0"/>
        <v>40</v>
      </c>
      <c r="C24" s="25">
        <v>4</v>
      </c>
      <c r="D24" s="42" t="s">
        <v>153</v>
      </c>
      <c r="E24" s="28" t="s">
        <v>154</v>
      </c>
      <c r="F24" s="28" t="s">
        <v>109</v>
      </c>
      <c r="G24" s="28" t="s">
        <v>155</v>
      </c>
      <c r="H24" s="25" t="s">
        <v>150</v>
      </c>
      <c r="I24" s="28" t="s">
        <v>151</v>
      </c>
      <c r="J24" s="28">
        <v>0.001</v>
      </c>
      <c r="K24" s="28"/>
      <c r="L24" s="45"/>
      <c r="M24" s="28"/>
    </row>
    <row r="25" ht="18.75" spans="2:13">
      <c r="B25" s="28">
        <f t="shared" si="0"/>
        <v>44</v>
      </c>
      <c r="C25" s="25">
        <v>4</v>
      </c>
      <c r="D25" s="42" t="s">
        <v>156</v>
      </c>
      <c r="E25" s="28" t="s">
        <v>157</v>
      </c>
      <c r="F25" s="28" t="s">
        <v>109</v>
      </c>
      <c r="G25" s="28" t="s">
        <v>155</v>
      </c>
      <c r="H25" s="25" t="s">
        <v>150</v>
      </c>
      <c r="I25" s="28" t="s">
        <v>151</v>
      </c>
      <c r="J25" s="28">
        <v>0.01</v>
      </c>
      <c r="K25" s="28"/>
      <c r="L25" s="45"/>
      <c r="M25" s="28"/>
    </row>
    <row r="26" ht="18.75" spans="2:13">
      <c r="B26" s="28">
        <f t="shared" si="0"/>
        <v>48</v>
      </c>
      <c r="C26" s="25">
        <v>4</v>
      </c>
      <c r="D26" s="42" t="s">
        <v>158</v>
      </c>
      <c r="E26" s="28" t="s">
        <v>159</v>
      </c>
      <c r="F26" s="28" t="s">
        <v>109</v>
      </c>
      <c r="G26" s="28" t="s">
        <v>155</v>
      </c>
      <c r="H26" s="25" t="s">
        <v>150</v>
      </c>
      <c r="I26" s="28" t="s">
        <v>151</v>
      </c>
      <c r="J26" s="28">
        <v>0.01</v>
      </c>
      <c r="K26" s="28"/>
      <c r="L26" s="45"/>
      <c r="M26" s="28"/>
    </row>
    <row r="27" ht="18.75" spans="2:13">
      <c r="B27" s="28">
        <f t="shared" si="0"/>
        <v>52</v>
      </c>
      <c r="C27" s="25">
        <v>4</v>
      </c>
      <c r="D27" s="42" t="s">
        <v>160</v>
      </c>
      <c r="E27" s="28" t="s">
        <v>161</v>
      </c>
      <c r="F27" s="28" t="s">
        <v>109</v>
      </c>
      <c r="G27" s="28" t="s">
        <v>155</v>
      </c>
      <c r="H27" s="25" t="s">
        <v>150</v>
      </c>
      <c r="I27" s="28" t="s">
        <v>151</v>
      </c>
      <c r="J27" s="28">
        <v>0.01</v>
      </c>
      <c r="K27" s="28"/>
      <c r="L27" s="45"/>
      <c r="M27" s="28"/>
    </row>
    <row r="28" ht="18.75" spans="2:13">
      <c r="B28" s="28">
        <f t="shared" si="0"/>
        <v>56</v>
      </c>
      <c r="C28" s="25">
        <v>4</v>
      </c>
      <c r="D28" s="42" t="s">
        <v>162</v>
      </c>
      <c r="E28" s="28" t="s">
        <v>163</v>
      </c>
      <c r="F28" s="28" t="s">
        <v>109</v>
      </c>
      <c r="G28" s="28" t="s">
        <v>164</v>
      </c>
      <c r="H28" s="25" t="s">
        <v>150</v>
      </c>
      <c r="I28" s="28" t="s">
        <v>151</v>
      </c>
      <c r="J28" s="28">
        <v>0.0001</v>
      </c>
      <c r="K28" s="28"/>
      <c r="L28" s="45"/>
      <c r="M28" s="28"/>
    </row>
    <row r="29" ht="18.75" spans="2:13">
      <c r="B29" s="28">
        <f t="shared" si="0"/>
        <v>60</v>
      </c>
      <c r="C29" s="25">
        <v>4</v>
      </c>
      <c r="D29" s="42" t="s">
        <v>165</v>
      </c>
      <c r="E29" s="28" t="s">
        <v>166</v>
      </c>
      <c r="F29" s="28" t="s">
        <v>109</v>
      </c>
      <c r="G29" s="28" t="s">
        <v>164</v>
      </c>
      <c r="H29" s="25" t="s">
        <v>150</v>
      </c>
      <c r="I29" s="28" t="s">
        <v>151</v>
      </c>
      <c r="J29" s="28">
        <v>0.001</v>
      </c>
      <c r="K29" s="28"/>
      <c r="L29" s="45"/>
      <c r="M29" s="28"/>
    </row>
    <row r="30" ht="18.75" spans="2:13">
      <c r="B30" s="28">
        <f t="shared" si="0"/>
        <v>64</v>
      </c>
      <c r="C30" s="25">
        <v>4</v>
      </c>
      <c r="D30" s="42" t="s">
        <v>167</v>
      </c>
      <c r="E30" s="28" t="s">
        <v>168</v>
      </c>
      <c r="F30" s="28" t="s">
        <v>109</v>
      </c>
      <c r="G30" s="28" t="s">
        <v>164</v>
      </c>
      <c r="H30" s="25" t="s">
        <v>150</v>
      </c>
      <c r="I30" s="28" t="s">
        <v>151</v>
      </c>
      <c r="J30" s="28">
        <v>0.001</v>
      </c>
      <c r="K30" s="28"/>
      <c r="L30" s="45"/>
      <c r="M30" s="44"/>
    </row>
    <row r="31" ht="18.75" spans="2:13">
      <c r="B31" s="28">
        <f t="shared" si="0"/>
        <v>68</v>
      </c>
      <c r="C31" s="25">
        <v>1</v>
      </c>
      <c r="D31" s="42" t="s">
        <v>169</v>
      </c>
      <c r="E31" s="28" t="s">
        <v>170</v>
      </c>
      <c r="F31" s="28" t="s">
        <v>109</v>
      </c>
      <c r="G31" s="28"/>
      <c r="H31" s="25" t="s">
        <v>171</v>
      </c>
      <c r="I31" s="41" t="s">
        <v>172</v>
      </c>
      <c r="J31" s="41">
        <v>1</v>
      </c>
      <c r="K31" s="28"/>
      <c r="L31" s="45" t="s">
        <v>173</v>
      </c>
      <c r="M31" s="28"/>
    </row>
    <row r="32" ht="18.75" spans="2:13">
      <c r="B32" s="28">
        <f t="shared" si="0"/>
        <v>69</v>
      </c>
      <c r="C32" s="25">
        <v>1</v>
      </c>
      <c r="D32" s="42" t="s">
        <v>174</v>
      </c>
      <c r="E32" s="41" t="s">
        <v>175</v>
      </c>
      <c r="F32" s="28" t="s">
        <v>109</v>
      </c>
      <c r="G32" s="28"/>
      <c r="H32" s="41" t="s">
        <v>171</v>
      </c>
      <c r="I32" s="41" t="s">
        <v>172</v>
      </c>
      <c r="J32" s="41">
        <v>1</v>
      </c>
      <c r="K32" s="28"/>
      <c r="L32" s="43" t="s">
        <v>176</v>
      </c>
      <c r="M32" s="28"/>
    </row>
    <row r="33" ht="18.75" spans="2:13">
      <c r="B33" s="28">
        <f t="shared" si="0"/>
        <v>70</v>
      </c>
      <c r="C33" s="25">
        <v>2</v>
      </c>
      <c r="D33" s="42" t="s">
        <v>177</v>
      </c>
      <c r="E33" s="41" t="s">
        <v>178</v>
      </c>
      <c r="F33" s="28" t="s">
        <v>109</v>
      </c>
      <c r="G33" s="28"/>
      <c r="H33" s="41" t="s">
        <v>179</v>
      </c>
      <c r="I33" s="41" t="s">
        <v>110</v>
      </c>
      <c r="J33" s="41">
        <v>1</v>
      </c>
      <c r="K33" s="28"/>
      <c r="L33" s="43"/>
      <c r="M33" s="44"/>
    </row>
    <row r="34" ht="18.75" spans="2:13">
      <c r="B34" s="28">
        <f t="shared" si="0"/>
        <v>72</v>
      </c>
      <c r="C34" s="25">
        <v>2</v>
      </c>
      <c r="D34" s="42" t="s">
        <v>180</v>
      </c>
      <c r="E34" s="41" t="s">
        <v>181</v>
      </c>
      <c r="F34" s="28" t="s">
        <v>109</v>
      </c>
      <c r="G34" s="28"/>
      <c r="H34" s="41" t="s">
        <v>182</v>
      </c>
      <c r="I34" s="41" t="s">
        <v>110</v>
      </c>
      <c r="J34" s="28">
        <v>0.001</v>
      </c>
      <c r="K34" s="28"/>
      <c r="L34" s="43"/>
      <c r="M34" s="28"/>
    </row>
    <row r="35" ht="18.75" spans="2:13">
      <c r="B35" s="28">
        <f t="shared" si="0"/>
        <v>74</v>
      </c>
      <c r="C35" s="25">
        <v>2</v>
      </c>
      <c r="D35" s="42" t="s">
        <v>183</v>
      </c>
      <c r="E35" s="41" t="s">
        <v>184</v>
      </c>
      <c r="F35" s="28" t="s">
        <v>109</v>
      </c>
      <c r="G35" s="28"/>
      <c r="H35" s="41" t="s">
        <v>182</v>
      </c>
      <c r="I35" s="41" t="s">
        <v>110</v>
      </c>
      <c r="J35" s="41">
        <v>1</v>
      </c>
      <c r="K35" s="28"/>
      <c r="L35" s="43"/>
      <c r="M35" s="28"/>
    </row>
    <row r="36" ht="18.75" spans="2:13">
      <c r="B36" s="28">
        <f t="shared" si="0"/>
        <v>76</v>
      </c>
      <c r="C36" s="25">
        <v>1</v>
      </c>
      <c r="D36" s="42" t="s">
        <v>185</v>
      </c>
      <c r="E36" s="41" t="s">
        <v>186</v>
      </c>
      <c r="F36" s="28" t="s">
        <v>109</v>
      </c>
      <c r="G36" s="28"/>
      <c r="H36" s="25" t="s">
        <v>114</v>
      </c>
      <c r="I36" s="41" t="s">
        <v>172</v>
      </c>
      <c r="J36" s="41">
        <v>1</v>
      </c>
      <c r="K36" s="28"/>
      <c r="L36" s="45"/>
      <c r="M36" s="28"/>
    </row>
    <row r="37" ht="18.75" spans="2:13">
      <c r="B37" s="28">
        <f t="shared" si="0"/>
        <v>77</v>
      </c>
      <c r="C37" s="25">
        <v>1</v>
      </c>
      <c r="D37" s="42" t="s">
        <v>187</v>
      </c>
      <c r="E37" s="41" t="s">
        <v>188</v>
      </c>
      <c r="F37" s="28" t="s">
        <v>109</v>
      </c>
      <c r="G37" s="28"/>
      <c r="H37" s="25" t="s">
        <v>114</v>
      </c>
      <c r="I37" s="41" t="s">
        <v>172</v>
      </c>
      <c r="J37" s="41">
        <v>1</v>
      </c>
      <c r="K37" s="28"/>
      <c r="L37" s="45"/>
      <c r="M37" s="28"/>
    </row>
    <row r="38" ht="18.75" spans="2:13">
      <c r="B38" s="28">
        <f t="shared" si="0"/>
        <v>78</v>
      </c>
      <c r="C38" s="25">
        <v>1</v>
      </c>
      <c r="D38" s="42" t="s">
        <v>189</v>
      </c>
      <c r="E38" s="41" t="s">
        <v>190</v>
      </c>
      <c r="F38" s="28" t="s">
        <v>109</v>
      </c>
      <c r="G38" s="28"/>
      <c r="H38" s="25" t="s">
        <v>114</v>
      </c>
      <c r="I38" s="41" t="s">
        <v>172</v>
      </c>
      <c r="J38" s="41">
        <v>1</v>
      </c>
      <c r="K38" s="28"/>
      <c r="L38" s="45"/>
      <c r="M38" s="28"/>
    </row>
    <row r="39" ht="18.75" spans="2:13">
      <c r="B39" s="28">
        <f t="shared" si="0"/>
        <v>79</v>
      </c>
      <c r="C39" s="25">
        <v>1</v>
      </c>
      <c r="D39" s="42" t="s">
        <v>191</v>
      </c>
      <c r="E39" s="41" t="s">
        <v>192</v>
      </c>
      <c r="F39" s="28" t="s">
        <v>109</v>
      </c>
      <c r="G39" s="28"/>
      <c r="H39" s="25" t="s">
        <v>114</v>
      </c>
      <c r="I39" s="41" t="s">
        <v>172</v>
      </c>
      <c r="J39" s="41">
        <v>1</v>
      </c>
      <c r="K39" s="28"/>
      <c r="L39" s="45"/>
      <c r="M39" s="28"/>
    </row>
    <row r="40" ht="18.75" spans="2:13">
      <c r="B40" s="28">
        <f t="shared" si="0"/>
        <v>80</v>
      </c>
      <c r="C40" s="25">
        <v>1</v>
      </c>
      <c r="D40" s="42" t="s">
        <v>193</v>
      </c>
      <c r="E40" s="41" t="s">
        <v>194</v>
      </c>
      <c r="F40" s="28" t="s">
        <v>109</v>
      </c>
      <c r="G40" s="28"/>
      <c r="H40" s="25" t="s">
        <v>114</v>
      </c>
      <c r="I40" s="41" t="s">
        <v>172</v>
      </c>
      <c r="J40" s="41">
        <v>1</v>
      </c>
      <c r="K40" s="28"/>
      <c r="L40" s="45"/>
      <c r="M40" s="28"/>
    </row>
    <row r="41" ht="18.75" spans="2:13">
      <c r="B41" s="28">
        <f t="shared" si="0"/>
        <v>81</v>
      </c>
      <c r="C41" s="25">
        <v>1</v>
      </c>
      <c r="D41" s="42" t="s">
        <v>195</v>
      </c>
      <c r="E41" s="41" t="s">
        <v>196</v>
      </c>
      <c r="F41" s="28" t="s">
        <v>109</v>
      </c>
      <c r="G41" s="28"/>
      <c r="H41" s="25" t="s">
        <v>114</v>
      </c>
      <c r="I41" s="41" t="s">
        <v>172</v>
      </c>
      <c r="J41" s="41">
        <v>1</v>
      </c>
      <c r="K41" s="28"/>
      <c r="L41" s="45"/>
      <c r="M41" s="28"/>
    </row>
    <row r="42" ht="37.5" spans="2:13">
      <c r="B42" s="28">
        <f t="shared" si="0"/>
        <v>82</v>
      </c>
      <c r="C42" s="25">
        <v>1</v>
      </c>
      <c r="D42" s="42" t="s">
        <v>197</v>
      </c>
      <c r="E42" s="41" t="s">
        <v>198</v>
      </c>
      <c r="F42" s="28" t="s">
        <v>109</v>
      </c>
      <c r="G42" s="28"/>
      <c r="H42" s="25" t="s">
        <v>114</v>
      </c>
      <c r="I42" s="41" t="s">
        <v>172</v>
      </c>
      <c r="J42" s="41">
        <v>1</v>
      </c>
      <c r="K42" s="28"/>
      <c r="L42" s="45"/>
      <c r="M42" s="28"/>
    </row>
    <row r="43" ht="37.5" spans="2:13">
      <c r="B43" s="28">
        <f t="shared" si="0"/>
        <v>83</v>
      </c>
      <c r="C43" s="25">
        <v>1</v>
      </c>
      <c r="D43" s="42" t="s">
        <v>199</v>
      </c>
      <c r="E43" s="41" t="s">
        <v>200</v>
      </c>
      <c r="F43" s="28" t="s">
        <v>109</v>
      </c>
      <c r="G43" s="28"/>
      <c r="H43" s="25" t="s">
        <v>114</v>
      </c>
      <c r="I43" s="41" t="s">
        <v>172</v>
      </c>
      <c r="J43" s="41">
        <v>1</v>
      </c>
      <c r="K43" s="28"/>
      <c r="L43" s="45"/>
      <c r="M43" s="28"/>
    </row>
    <row r="44" ht="37.5" spans="2:13">
      <c r="B44" s="28">
        <f t="shared" si="0"/>
        <v>84</v>
      </c>
      <c r="C44" s="25">
        <v>1</v>
      </c>
      <c r="D44" s="42" t="s">
        <v>201</v>
      </c>
      <c r="E44" s="41" t="s">
        <v>202</v>
      </c>
      <c r="F44" s="28" t="s">
        <v>109</v>
      </c>
      <c r="G44" s="28"/>
      <c r="H44" s="25" t="s">
        <v>114</v>
      </c>
      <c r="I44" s="41" t="s">
        <v>172</v>
      </c>
      <c r="J44" s="41">
        <v>1</v>
      </c>
      <c r="K44" s="28"/>
      <c r="L44" s="45"/>
      <c r="M44" s="28"/>
    </row>
    <row r="45" ht="37.5" spans="2:13">
      <c r="B45" s="28">
        <f t="shared" si="0"/>
        <v>85</v>
      </c>
      <c r="C45" s="25">
        <v>1</v>
      </c>
      <c r="D45" s="42" t="s">
        <v>203</v>
      </c>
      <c r="E45" s="41" t="s">
        <v>204</v>
      </c>
      <c r="F45" s="28" t="s">
        <v>109</v>
      </c>
      <c r="G45" s="28"/>
      <c r="H45" s="25" t="s">
        <v>114</v>
      </c>
      <c r="I45" s="41" t="s">
        <v>172</v>
      </c>
      <c r="J45" s="41">
        <v>1</v>
      </c>
      <c r="K45" s="28"/>
      <c r="L45" s="45"/>
      <c r="M45" s="28"/>
    </row>
    <row r="46" ht="18.75" spans="2:13">
      <c r="B46" s="28">
        <f t="shared" si="0"/>
        <v>86</v>
      </c>
      <c r="C46" s="25">
        <v>2</v>
      </c>
      <c r="D46" s="42" t="s">
        <v>205</v>
      </c>
      <c r="E46" s="41" t="s">
        <v>206</v>
      </c>
      <c r="F46" s="28" t="s">
        <v>109</v>
      </c>
      <c r="G46" s="28"/>
      <c r="H46" s="25" t="s">
        <v>110</v>
      </c>
      <c r="I46" s="41" t="s">
        <v>110</v>
      </c>
      <c r="J46" s="41">
        <v>1</v>
      </c>
      <c r="K46" s="28"/>
      <c r="L46" s="45"/>
      <c r="M46" s="28"/>
    </row>
    <row r="47" ht="18.75" spans="2:13">
      <c r="B47" s="28">
        <f t="shared" si="0"/>
        <v>88</v>
      </c>
      <c r="C47" s="25">
        <v>2</v>
      </c>
      <c r="D47" s="42" t="s">
        <v>207</v>
      </c>
      <c r="E47" s="41" t="s">
        <v>208</v>
      </c>
      <c r="F47" s="28" t="s">
        <v>109</v>
      </c>
      <c r="G47" s="28"/>
      <c r="H47" s="25" t="s">
        <v>110</v>
      </c>
      <c r="I47" s="41" t="s">
        <v>110</v>
      </c>
      <c r="J47" s="41">
        <v>1</v>
      </c>
      <c r="K47" s="28"/>
      <c r="L47" s="45"/>
      <c r="M47" s="28"/>
    </row>
    <row r="48" ht="18.75" spans="2:13">
      <c r="B48" s="28">
        <f t="shared" si="0"/>
        <v>90</v>
      </c>
      <c r="C48" s="25">
        <v>2</v>
      </c>
      <c r="D48" s="42" t="s">
        <v>209</v>
      </c>
      <c r="E48" s="41" t="s">
        <v>210</v>
      </c>
      <c r="F48" s="28" t="s">
        <v>109</v>
      </c>
      <c r="G48" s="28"/>
      <c r="H48" s="25" t="s">
        <v>110</v>
      </c>
      <c r="I48" s="41" t="s">
        <v>110</v>
      </c>
      <c r="J48" s="41">
        <v>1</v>
      </c>
      <c r="K48" s="28"/>
      <c r="L48" s="45"/>
      <c r="M48" s="28"/>
    </row>
    <row r="49" ht="18.75" spans="2:13">
      <c r="B49" s="28">
        <f t="shared" si="0"/>
        <v>92</v>
      </c>
      <c r="C49" s="25">
        <v>2</v>
      </c>
      <c r="D49" s="42" t="s">
        <v>211</v>
      </c>
      <c r="E49" s="41" t="s">
        <v>212</v>
      </c>
      <c r="F49" s="28" t="s">
        <v>109</v>
      </c>
      <c r="G49" s="28"/>
      <c r="H49" s="25" t="s">
        <v>110</v>
      </c>
      <c r="I49" s="41" t="s">
        <v>110</v>
      </c>
      <c r="J49" s="41">
        <v>1</v>
      </c>
      <c r="K49" s="28"/>
      <c r="L49" s="45"/>
      <c r="M49" s="28"/>
    </row>
    <row r="50" ht="18.75" spans="2:13">
      <c r="B50" s="28">
        <f t="shared" si="0"/>
        <v>94</v>
      </c>
      <c r="C50" s="25">
        <v>2</v>
      </c>
      <c r="D50" s="42" t="s">
        <v>213</v>
      </c>
      <c r="E50" s="41" t="s">
        <v>214</v>
      </c>
      <c r="F50" s="28" t="s">
        <v>109</v>
      </c>
      <c r="G50" s="28"/>
      <c r="H50" s="25" t="s">
        <v>110</v>
      </c>
      <c r="I50" s="41" t="s">
        <v>110</v>
      </c>
      <c r="J50" s="41">
        <v>1</v>
      </c>
      <c r="K50" s="28"/>
      <c r="L50" s="45"/>
      <c r="M50" s="28"/>
    </row>
    <row r="51" ht="18.75" spans="2:13">
      <c r="B51" s="28">
        <f t="shared" si="0"/>
        <v>96</v>
      </c>
      <c r="C51" s="25">
        <v>2</v>
      </c>
      <c r="D51" s="42" t="s">
        <v>215</v>
      </c>
      <c r="E51" s="28" t="s">
        <v>216</v>
      </c>
      <c r="F51" s="28" t="s">
        <v>109</v>
      </c>
      <c r="G51" s="28"/>
      <c r="H51" s="25" t="s">
        <v>110</v>
      </c>
      <c r="I51" s="41" t="s">
        <v>110</v>
      </c>
      <c r="J51" s="41">
        <v>1</v>
      </c>
      <c r="K51" s="28"/>
      <c r="L51" s="45"/>
      <c r="M51" s="28"/>
    </row>
    <row r="52" ht="18.75" spans="2:13">
      <c r="B52" s="28">
        <f t="shared" si="0"/>
        <v>98</v>
      </c>
      <c r="C52" s="25">
        <v>2</v>
      </c>
      <c r="D52" s="42" t="s">
        <v>217</v>
      </c>
      <c r="E52" s="41" t="s">
        <v>218</v>
      </c>
      <c r="F52" s="28" t="s">
        <v>109</v>
      </c>
      <c r="G52" s="28"/>
      <c r="H52" s="25" t="s">
        <v>110</v>
      </c>
      <c r="I52" s="41" t="s">
        <v>110</v>
      </c>
      <c r="J52" s="41">
        <v>1</v>
      </c>
      <c r="K52" s="28"/>
      <c r="L52" s="45"/>
      <c r="M52" s="28"/>
    </row>
    <row r="53" ht="18.75" spans="2:13">
      <c r="B53" s="28">
        <f t="shared" si="0"/>
        <v>100</v>
      </c>
      <c r="C53" s="25">
        <v>2</v>
      </c>
      <c r="D53" s="42" t="s">
        <v>219</v>
      </c>
      <c r="E53" s="41" t="s">
        <v>220</v>
      </c>
      <c r="F53" s="28" t="s">
        <v>109</v>
      </c>
      <c r="G53" s="28"/>
      <c r="H53" s="25" t="s">
        <v>110</v>
      </c>
      <c r="I53" s="41" t="s">
        <v>110</v>
      </c>
      <c r="J53" s="41">
        <v>1</v>
      </c>
      <c r="K53" s="28"/>
      <c r="L53" s="45"/>
      <c r="M53" s="28"/>
    </row>
    <row r="54" ht="18.75" spans="2:13">
      <c r="B54" s="28">
        <f t="shared" si="0"/>
        <v>102</v>
      </c>
      <c r="C54" s="25">
        <v>4</v>
      </c>
      <c r="D54" s="42" t="s">
        <v>221</v>
      </c>
      <c r="E54" s="41" t="s">
        <v>222</v>
      </c>
      <c r="F54" s="28" t="s">
        <v>109</v>
      </c>
      <c r="G54" s="28"/>
      <c r="H54" s="25" t="s">
        <v>150</v>
      </c>
      <c r="I54" s="28" t="s">
        <v>151</v>
      </c>
      <c r="J54" s="28">
        <v>0.001</v>
      </c>
      <c r="K54" s="28"/>
      <c r="L54" s="45"/>
      <c r="M54" s="28"/>
    </row>
    <row r="55" ht="18.75" spans="2:13">
      <c r="B55" s="28">
        <f t="shared" si="0"/>
        <v>106</v>
      </c>
      <c r="C55" s="25">
        <v>4</v>
      </c>
      <c r="D55" s="42" t="s">
        <v>223</v>
      </c>
      <c r="E55" s="41" t="s">
        <v>224</v>
      </c>
      <c r="F55" s="28" t="s">
        <v>109</v>
      </c>
      <c r="G55" s="28"/>
      <c r="H55" s="25" t="s">
        <v>150</v>
      </c>
      <c r="I55" s="28" t="s">
        <v>151</v>
      </c>
      <c r="J55" s="28">
        <v>0.001</v>
      </c>
      <c r="K55" s="28"/>
      <c r="L55" s="45"/>
      <c r="M55" s="28"/>
    </row>
    <row r="56" ht="18.75" spans="2:13">
      <c r="B56" s="28">
        <f t="shared" si="0"/>
        <v>110</v>
      </c>
      <c r="C56" s="25">
        <v>4</v>
      </c>
      <c r="D56" s="42" t="s">
        <v>225</v>
      </c>
      <c r="E56" s="41" t="s">
        <v>226</v>
      </c>
      <c r="F56" s="28" t="s">
        <v>109</v>
      </c>
      <c r="G56" s="28"/>
      <c r="H56" s="25" t="s">
        <v>150</v>
      </c>
      <c r="I56" s="28" t="s">
        <v>151</v>
      </c>
      <c r="J56" s="28">
        <v>0.001</v>
      </c>
      <c r="K56" s="28"/>
      <c r="L56" s="45"/>
      <c r="M56" s="28"/>
    </row>
    <row r="57" ht="18.75" spans="2:13">
      <c r="B57" s="39" t="s">
        <v>227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6"/>
    </row>
    <row r="58" ht="18.75" spans="2:13">
      <c r="B58" s="28">
        <v>256</v>
      </c>
      <c r="C58" s="28">
        <v>1</v>
      </c>
      <c r="D58" s="28" t="s">
        <v>228</v>
      </c>
      <c r="E58" s="41" t="s">
        <v>229</v>
      </c>
      <c r="F58" s="28" t="s">
        <v>109</v>
      </c>
      <c r="G58" s="28"/>
      <c r="H58" s="28" t="s">
        <v>230</v>
      </c>
      <c r="I58" s="28" t="s">
        <v>230</v>
      </c>
      <c r="J58" s="28">
        <v>1</v>
      </c>
      <c r="K58" s="28"/>
      <c r="L58" s="45" t="s">
        <v>231</v>
      </c>
      <c r="M58" s="46"/>
    </row>
    <row r="59" ht="18.75" spans="2:13">
      <c r="B59" s="28">
        <f t="shared" ref="B59:B64" si="1">B58+C58</f>
        <v>257</v>
      </c>
      <c r="C59" s="28">
        <v>1</v>
      </c>
      <c r="D59" s="28" t="s">
        <v>232</v>
      </c>
      <c r="E59" s="41" t="s">
        <v>233</v>
      </c>
      <c r="F59" s="28" t="s">
        <v>109</v>
      </c>
      <c r="G59" s="28"/>
      <c r="H59" s="28" t="s">
        <v>230</v>
      </c>
      <c r="I59" s="28" t="s">
        <v>230</v>
      </c>
      <c r="J59" s="28">
        <v>1</v>
      </c>
      <c r="K59" s="28"/>
      <c r="L59" s="45" t="s">
        <v>234</v>
      </c>
      <c r="M59" s="47" t="s">
        <v>235</v>
      </c>
    </row>
    <row r="60" ht="18.75" spans="2:13">
      <c r="B60" s="28">
        <f t="shared" si="1"/>
        <v>258</v>
      </c>
      <c r="C60" s="28">
        <v>1</v>
      </c>
      <c r="D60" s="28" t="s">
        <v>236</v>
      </c>
      <c r="E60" s="41" t="s">
        <v>237</v>
      </c>
      <c r="F60" s="28" t="s">
        <v>109</v>
      </c>
      <c r="G60" s="28"/>
      <c r="H60" s="28" t="s">
        <v>230</v>
      </c>
      <c r="I60" s="28" t="s">
        <v>230</v>
      </c>
      <c r="J60" s="28">
        <v>1</v>
      </c>
      <c r="K60" s="28"/>
      <c r="L60" s="45" t="s">
        <v>238</v>
      </c>
      <c r="M60" s="47" t="s">
        <v>235</v>
      </c>
    </row>
    <row r="61" ht="18.75" spans="2:13">
      <c r="B61" s="28">
        <f t="shared" si="1"/>
        <v>259</v>
      </c>
      <c r="C61" s="28">
        <v>1</v>
      </c>
      <c r="D61" s="28" t="s">
        <v>239</v>
      </c>
      <c r="E61" s="41" t="s">
        <v>240</v>
      </c>
      <c r="F61" s="28" t="s">
        <v>109</v>
      </c>
      <c r="G61" s="28"/>
      <c r="H61" s="28" t="s">
        <v>230</v>
      </c>
      <c r="I61" s="28" t="s">
        <v>230</v>
      </c>
      <c r="J61" s="28">
        <v>1</v>
      </c>
      <c r="K61" s="28"/>
      <c r="L61" s="45" t="s">
        <v>241</v>
      </c>
      <c r="M61" s="47" t="s">
        <v>242</v>
      </c>
    </row>
    <row r="62" ht="18.75" spans="2:13">
      <c r="B62" s="28">
        <f t="shared" si="1"/>
        <v>260</v>
      </c>
      <c r="C62" s="28">
        <v>1</v>
      </c>
      <c r="D62" s="28" t="s">
        <v>243</v>
      </c>
      <c r="E62" s="41" t="s">
        <v>244</v>
      </c>
      <c r="F62" s="28" t="s">
        <v>109</v>
      </c>
      <c r="G62" s="28"/>
      <c r="H62" s="28" t="s">
        <v>230</v>
      </c>
      <c r="I62" s="28" t="s">
        <v>230</v>
      </c>
      <c r="J62" s="28">
        <v>1</v>
      </c>
      <c r="K62" s="28"/>
      <c r="L62" s="45" t="s">
        <v>245</v>
      </c>
      <c r="M62" s="47" t="s">
        <v>246</v>
      </c>
    </row>
    <row r="63" ht="18.75" spans="2:13">
      <c r="B63" s="28">
        <f t="shared" si="1"/>
        <v>261</v>
      </c>
      <c r="C63" s="28">
        <v>1</v>
      </c>
      <c r="D63" s="28" t="s">
        <v>247</v>
      </c>
      <c r="E63" s="41" t="s">
        <v>248</v>
      </c>
      <c r="F63" s="28" t="s">
        <v>109</v>
      </c>
      <c r="G63" s="28"/>
      <c r="H63" s="28" t="s">
        <v>230</v>
      </c>
      <c r="I63" s="28" t="s">
        <v>230</v>
      </c>
      <c r="J63" s="28">
        <v>1</v>
      </c>
      <c r="K63" s="28"/>
      <c r="L63" s="45" t="s">
        <v>241</v>
      </c>
      <c r="M63" s="47" t="s">
        <v>249</v>
      </c>
    </row>
    <row r="64" ht="18.75" spans="2:13">
      <c r="B64" s="28">
        <f t="shared" si="1"/>
        <v>262</v>
      </c>
      <c r="C64" s="28">
        <v>1</v>
      </c>
      <c r="D64" s="28" t="s">
        <v>250</v>
      </c>
      <c r="E64" s="41" t="s">
        <v>251</v>
      </c>
      <c r="F64" s="28" t="s">
        <v>109</v>
      </c>
      <c r="G64" s="28"/>
      <c r="H64" s="28" t="s">
        <v>230</v>
      </c>
      <c r="I64" s="28" t="s">
        <v>230</v>
      </c>
      <c r="J64" s="28">
        <v>1</v>
      </c>
      <c r="K64" s="28"/>
      <c r="L64" s="45" t="s">
        <v>252</v>
      </c>
      <c r="M64" s="46"/>
    </row>
    <row r="65" ht="18.75" spans="2:13">
      <c r="B65" s="39" t="s">
        <v>253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6"/>
    </row>
    <row r="66" ht="18.75" spans="2:13">
      <c r="B66" s="28">
        <v>384</v>
      </c>
      <c r="C66" s="28">
        <v>2</v>
      </c>
      <c r="D66" s="28" t="s">
        <v>254</v>
      </c>
      <c r="E66" s="41" t="s">
        <v>255</v>
      </c>
      <c r="F66" s="28" t="s">
        <v>109</v>
      </c>
      <c r="G66" s="28" t="s">
        <v>256</v>
      </c>
      <c r="H66" s="24" t="s">
        <v>182</v>
      </c>
      <c r="I66" s="21" t="s">
        <v>179</v>
      </c>
      <c r="J66" s="25">
        <v>0.001</v>
      </c>
      <c r="K66" s="25"/>
      <c r="L66" s="25"/>
      <c r="M66" s="46"/>
    </row>
    <row r="67" ht="18.75" spans="2:13">
      <c r="B67" s="28">
        <f t="shared" ref="B67:B130" si="2">B66+C66</f>
        <v>386</v>
      </c>
      <c r="C67" s="28">
        <v>2</v>
      </c>
      <c r="D67" s="28" t="s">
        <v>257</v>
      </c>
      <c r="E67" s="41" t="s">
        <v>258</v>
      </c>
      <c r="F67" s="28" t="s">
        <v>109</v>
      </c>
      <c r="G67" s="28" t="s">
        <v>256</v>
      </c>
      <c r="H67" s="24" t="s">
        <v>182</v>
      </c>
      <c r="I67" s="21" t="s">
        <v>179</v>
      </c>
      <c r="J67" s="25">
        <v>0.001</v>
      </c>
      <c r="K67" s="25"/>
      <c r="L67" s="25"/>
      <c r="M67" s="46"/>
    </row>
    <row r="68" ht="18.75" spans="2:13">
      <c r="B68" s="28">
        <f t="shared" si="2"/>
        <v>388</v>
      </c>
      <c r="C68" s="28">
        <v>2</v>
      </c>
      <c r="D68" s="28" t="s">
        <v>259</v>
      </c>
      <c r="E68" s="41" t="s">
        <v>260</v>
      </c>
      <c r="F68" s="28" t="s">
        <v>109</v>
      </c>
      <c r="G68" s="28" t="s">
        <v>256</v>
      </c>
      <c r="H68" s="24" t="s">
        <v>182</v>
      </c>
      <c r="I68" s="21" t="s">
        <v>179</v>
      </c>
      <c r="J68" s="25">
        <v>0.001</v>
      </c>
      <c r="K68" s="25"/>
      <c r="L68" s="25"/>
      <c r="M68" s="46"/>
    </row>
    <row r="69" ht="18.75" spans="2:13">
      <c r="B69" s="28">
        <f t="shared" si="2"/>
        <v>390</v>
      </c>
      <c r="C69" s="28">
        <v>2</v>
      </c>
      <c r="D69" s="28" t="s">
        <v>261</v>
      </c>
      <c r="E69" s="41" t="s">
        <v>262</v>
      </c>
      <c r="F69" s="28" t="s">
        <v>109</v>
      </c>
      <c r="G69" s="28" t="s">
        <v>263</v>
      </c>
      <c r="H69" s="24" t="s">
        <v>182</v>
      </c>
      <c r="I69" s="21" t="s">
        <v>179</v>
      </c>
      <c r="J69" s="25">
        <v>0.001</v>
      </c>
      <c r="K69" s="25"/>
      <c r="L69" s="25"/>
      <c r="M69" s="46"/>
    </row>
    <row r="70" ht="18.75" spans="2:13">
      <c r="B70" s="28">
        <f t="shared" si="2"/>
        <v>392</v>
      </c>
      <c r="C70" s="28">
        <v>2</v>
      </c>
      <c r="D70" s="28" t="s">
        <v>264</v>
      </c>
      <c r="E70" s="41" t="s">
        <v>265</v>
      </c>
      <c r="F70" s="28" t="s">
        <v>109</v>
      </c>
      <c r="G70" s="28" t="s">
        <v>263</v>
      </c>
      <c r="H70" s="24" t="s">
        <v>182</v>
      </c>
      <c r="I70" s="21" t="s">
        <v>179</v>
      </c>
      <c r="J70" s="25">
        <v>0.001</v>
      </c>
      <c r="K70" s="25"/>
      <c r="L70" s="25"/>
      <c r="M70" s="46"/>
    </row>
    <row r="71" ht="18.75" spans="2:13">
      <c r="B71" s="28">
        <f t="shared" si="2"/>
        <v>394</v>
      </c>
      <c r="C71" s="28">
        <v>2</v>
      </c>
      <c r="D71" s="28" t="s">
        <v>266</v>
      </c>
      <c r="E71" s="41" t="s">
        <v>267</v>
      </c>
      <c r="F71" s="28" t="s">
        <v>109</v>
      </c>
      <c r="G71" s="28" t="s">
        <v>263</v>
      </c>
      <c r="H71" s="24" t="s">
        <v>182</v>
      </c>
      <c r="I71" s="21" t="s">
        <v>179</v>
      </c>
      <c r="J71" s="25">
        <v>0.001</v>
      </c>
      <c r="K71" s="25"/>
      <c r="L71" s="25"/>
      <c r="M71" s="46"/>
    </row>
    <row r="72" ht="18.75" spans="2:13">
      <c r="B72" s="28">
        <f t="shared" si="2"/>
        <v>396</v>
      </c>
      <c r="C72" s="28">
        <v>2</v>
      </c>
      <c r="D72" s="28" t="s">
        <v>268</v>
      </c>
      <c r="E72" s="41" t="s">
        <v>269</v>
      </c>
      <c r="F72" s="28" t="s">
        <v>109</v>
      </c>
      <c r="G72" s="28" t="s">
        <v>270</v>
      </c>
      <c r="H72" s="24" t="s">
        <v>182</v>
      </c>
      <c r="I72" s="21" t="s">
        <v>179</v>
      </c>
      <c r="J72" s="25">
        <v>0.001</v>
      </c>
      <c r="K72" s="25"/>
      <c r="L72" s="25"/>
      <c r="M72" s="46"/>
    </row>
    <row r="73" ht="18.75" spans="2:13">
      <c r="B73" s="28">
        <f t="shared" si="2"/>
        <v>398</v>
      </c>
      <c r="C73" s="28">
        <v>2</v>
      </c>
      <c r="D73" s="28" t="s">
        <v>271</v>
      </c>
      <c r="E73" s="41" t="s">
        <v>272</v>
      </c>
      <c r="F73" s="28" t="s">
        <v>109</v>
      </c>
      <c r="G73" s="28" t="s">
        <v>270</v>
      </c>
      <c r="H73" s="24" t="s">
        <v>182</v>
      </c>
      <c r="I73" s="21" t="s">
        <v>179</v>
      </c>
      <c r="J73" s="25">
        <v>0.001</v>
      </c>
      <c r="K73" s="25"/>
      <c r="L73" s="25"/>
      <c r="M73" s="46"/>
    </row>
    <row r="74" ht="18.75" spans="2:13">
      <c r="B74" s="28">
        <f t="shared" si="2"/>
        <v>400</v>
      </c>
      <c r="C74" s="28">
        <v>2</v>
      </c>
      <c r="D74" s="28" t="s">
        <v>273</v>
      </c>
      <c r="E74" s="41" t="s">
        <v>274</v>
      </c>
      <c r="F74" s="28" t="s">
        <v>109</v>
      </c>
      <c r="G74" s="28" t="s">
        <v>270</v>
      </c>
      <c r="H74" s="24" t="s">
        <v>182</v>
      </c>
      <c r="I74" s="21" t="s">
        <v>179</v>
      </c>
      <c r="J74" s="25">
        <v>0.001</v>
      </c>
      <c r="K74" s="25"/>
      <c r="L74" s="25"/>
      <c r="M74" s="46"/>
    </row>
    <row r="75" ht="18.75" spans="2:13">
      <c r="B75" s="28">
        <f t="shared" si="2"/>
        <v>402</v>
      </c>
      <c r="C75" s="28">
        <v>2</v>
      </c>
      <c r="D75" s="28" t="s">
        <v>275</v>
      </c>
      <c r="E75" s="41" t="s">
        <v>276</v>
      </c>
      <c r="F75" s="28" t="s">
        <v>109</v>
      </c>
      <c r="G75" s="28" t="s">
        <v>277</v>
      </c>
      <c r="H75" s="24" t="s">
        <v>182</v>
      </c>
      <c r="I75" s="21" t="s">
        <v>179</v>
      </c>
      <c r="J75" s="25">
        <v>0.001</v>
      </c>
      <c r="K75" s="25"/>
      <c r="L75" s="25"/>
      <c r="M75" s="46"/>
    </row>
    <row r="76" ht="18.75" spans="2:13">
      <c r="B76" s="28">
        <f t="shared" si="2"/>
        <v>404</v>
      </c>
      <c r="C76" s="28">
        <v>2</v>
      </c>
      <c r="D76" s="28" t="s">
        <v>278</v>
      </c>
      <c r="E76" s="41" t="s">
        <v>279</v>
      </c>
      <c r="F76" s="28" t="s">
        <v>109</v>
      </c>
      <c r="G76" s="28" t="s">
        <v>277</v>
      </c>
      <c r="H76" s="24" t="s">
        <v>182</v>
      </c>
      <c r="I76" s="21" t="s">
        <v>179</v>
      </c>
      <c r="J76" s="25">
        <v>0.001</v>
      </c>
      <c r="K76" s="25"/>
      <c r="L76" s="25"/>
      <c r="M76" s="46"/>
    </row>
    <row r="77" ht="18.75" spans="2:13">
      <c r="B77" s="28">
        <f t="shared" si="2"/>
        <v>406</v>
      </c>
      <c r="C77" s="28">
        <v>2</v>
      </c>
      <c r="D77" s="28" t="s">
        <v>280</v>
      </c>
      <c r="E77" s="41" t="s">
        <v>281</v>
      </c>
      <c r="F77" s="28" t="s">
        <v>109</v>
      </c>
      <c r="G77" s="28" t="s">
        <v>277</v>
      </c>
      <c r="H77" s="24" t="s">
        <v>182</v>
      </c>
      <c r="I77" s="21" t="s">
        <v>179</v>
      </c>
      <c r="J77" s="25">
        <v>0.001</v>
      </c>
      <c r="K77" s="25"/>
      <c r="L77" s="25"/>
      <c r="M77" s="46"/>
    </row>
    <row r="78" ht="18.75" spans="2:13">
      <c r="B78" s="28">
        <f t="shared" si="2"/>
        <v>408</v>
      </c>
      <c r="C78" s="28">
        <v>2</v>
      </c>
      <c r="D78" s="28" t="s">
        <v>282</v>
      </c>
      <c r="E78" s="41" t="s">
        <v>283</v>
      </c>
      <c r="F78" s="28" t="s">
        <v>109</v>
      </c>
      <c r="G78" s="28" t="s">
        <v>284</v>
      </c>
      <c r="H78" s="24" t="s">
        <v>182</v>
      </c>
      <c r="I78" s="21" t="s">
        <v>179</v>
      </c>
      <c r="J78" s="25">
        <v>0.001</v>
      </c>
      <c r="K78" s="25"/>
      <c r="L78" s="25"/>
      <c r="M78" s="46"/>
    </row>
    <row r="79" ht="18.75" spans="2:13">
      <c r="B79" s="28">
        <f t="shared" si="2"/>
        <v>410</v>
      </c>
      <c r="C79" s="28">
        <v>2</v>
      </c>
      <c r="D79" s="28" t="s">
        <v>285</v>
      </c>
      <c r="E79" s="41" t="s">
        <v>286</v>
      </c>
      <c r="F79" s="28" t="s">
        <v>109</v>
      </c>
      <c r="G79" s="28" t="s">
        <v>284</v>
      </c>
      <c r="H79" s="24" t="s">
        <v>182</v>
      </c>
      <c r="I79" s="21" t="s">
        <v>179</v>
      </c>
      <c r="J79" s="25">
        <v>0.001</v>
      </c>
      <c r="K79" s="25"/>
      <c r="L79" s="25"/>
      <c r="M79" s="46"/>
    </row>
    <row r="80" ht="18.75" spans="2:13">
      <c r="B80" s="28">
        <f t="shared" si="2"/>
        <v>412</v>
      </c>
      <c r="C80" s="28">
        <v>2</v>
      </c>
      <c r="D80" s="28" t="s">
        <v>287</v>
      </c>
      <c r="E80" s="41" t="s">
        <v>288</v>
      </c>
      <c r="F80" s="28" t="s">
        <v>109</v>
      </c>
      <c r="G80" s="28" t="s">
        <v>284</v>
      </c>
      <c r="H80" s="24" t="s">
        <v>182</v>
      </c>
      <c r="I80" s="21" t="s">
        <v>179</v>
      </c>
      <c r="J80" s="25">
        <v>0.001</v>
      </c>
      <c r="K80" s="25"/>
      <c r="L80" s="25"/>
      <c r="M80" s="46"/>
    </row>
    <row r="81" ht="18.75" spans="2:13">
      <c r="B81" s="28">
        <f t="shared" si="2"/>
        <v>414</v>
      </c>
      <c r="C81" s="28">
        <v>2</v>
      </c>
      <c r="D81" s="28" t="s">
        <v>289</v>
      </c>
      <c r="E81" s="41" t="s">
        <v>290</v>
      </c>
      <c r="F81" s="28" t="s">
        <v>109</v>
      </c>
      <c r="G81" s="28"/>
      <c r="H81" s="24" t="s">
        <v>182</v>
      </c>
      <c r="I81" s="21" t="s">
        <v>179</v>
      </c>
      <c r="J81" s="25">
        <v>0.001</v>
      </c>
      <c r="K81" s="25"/>
      <c r="L81" s="25"/>
      <c r="M81" s="46"/>
    </row>
    <row r="82" ht="18.75" spans="2:13">
      <c r="B82" s="28">
        <f t="shared" si="2"/>
        <v>416</v>
      </c>
      <c r="C82" s="28">
        <v>2</v>
      </c>
      <c r="D82" s="28" t="s">
        <v>291</v>
      </c>
      <c r="E82" s="41" t="s">
        <v>292</v>
      </c>
      <c r="F82" s="28" t="s">
        <v>109</v>
      </c>
      <c r="G82" s="28"/>
      <c r="H82" s="24" t="s">
        <v>182</v>
      </c>
      <c r="I82" s="21" t="s">
        <v>179</v>
      </c>
      <c r="J82" s="25">
        <v>0.001</v>
      </c>
      <c r="K82" s="25"/>
      <c r="L82" s="25"/>
      <c r="M82" s="46"/>
    </row>
    <row r="83" ht="18.75" spans="2:13">
      <c r="B83" s="28">
        <f t="shared" si="2"/>
        <v>418</v>
      </c>
      <c r="C83" s="28">
        <v>2</v>
      </c>
      <c r="D83" s="28" t="s">
        <v>293</v>
      </c>
      <c r="E83" s="41" t="s">
        <v>294</v>
      </c>
      <c r="F83" s="28" t="s">
        <v>109</v>
      </c>
      <c r="G83" s="28"/>
      <c r="H83" s="24" t="s">
        <v>182</v>
      </c>
      <c r="I83" s="21" t="s">
        <v>179</v>
      </c>
      <c r="J83" s="25">
        <v>0.001</v>
      </c>
      <c r="K83" s="25"/>
      <c r="L83" s="25"/>
      <c r="M83" s="46"/>
    </row>
    <row r="84" ht="18.75" spans="2:13">
      <c r="B84" s="28">
        <f t="shared" si="2"/>
        <v>420</v>
      </c>
      <c r="C84" s="28">
        <v>2</v>
      </c>
      <c r="D84" s="28" t="s">
        <v>295</v>
      </c>
      <c r="E84" s="41" t="s">
        <v>296</v>
      </c>
      <c r="F84" s="28" t="s">
        <v>109</v>
      </c>
      <c r="G84" s="28"/>
      <c r="H84" s="24" t="s">
        <v>182</v>
      </c>
      <c r="I84" s="21" t="s">
        <v>179</v>
      </c>
      <c r="J84" s="25">
        <v>0.001</v>
      </c>
      <c r="K84" s="25"/>
      <c r="L84" s="25"/>
      <c r="M84" s="46"/>
    </row>
    <row r="85" ht="18.75" spans="2:13">
      <c r="B85" s="28">
        <f t="shared" si="2"/>
        <v>422</v>
      </c>
      <c r="C85" s="28">
        <v>2</v>
      </c>
      <c r="D85" s="28" t="s">
        <v>297</v>
      </c>
      <c r="E85" s="41" t="s">
        <v>298</v>
      </c>
      <c r="F85" s="28" t="s">
        <v>109</v>
      </c>
      <c r="G85" s="28"/>
      <c r="H85" s="24" t="s">
        <v>182</v>
      </c>
      <c r="I85" s="21" t="s">
        <v>179</v>
      </c>
      <c r="J85" s="25">
        <v>0.001</v>
      </c>
      <c r="K85" s="25"/>
      <c r="L85" s="25"/>
      <c r="M85" s="46"/>
    </row>
    <row r="86" ht="18.75" spans="2:13">
      <c r="B86" s="28">
        <f t="shared" si="2"/>
        <v>424</v>
      </c>
      <c r="C86" s="28">
        <v>2</v>
      </c>
      <c r="D86" s="28" t="s">
        <v>299</v>
      </c>
      <c r="E86" s="41" t="s">
        <v>300</v>
      </c>
      <c r="F86" s="28" t="s">
        <v>109</v>
      </c>
      <c r="G86" s="28"/>
      <c r="H86" s="24" t="s">
        <v>182</v>
      </c>
      <c r="I86" s="21" t="s">
        <v>179</v>
      </c>
      <c r="J86" s="25">
        <v>0.001</v>
      </c>
      <c r="K86" s="25"/>
      <c r="L86" s="25"/>
      <c r="M86" s="46"/>
    </row>
    <row r="87" ht="37.5" spans="2:13">
      <c r="B87" s="28">
        <f t="shared" si="2"/>
        <v>426</v>
      </c>
      <c r="C87" s="28">
        <v>2</v>
      </c>
      <c r="D87" s="28" t="s">
        <v>301</v>
      </c>
      <c r="E87" s="41" t="s">
        <v>302</v>
      </c>
      <c r="F87" s="28" t="s">
        <v>109</v>
      </c>
      <c r="G87" s="28" t="s">
        <v>256</v>
      </c>
      <c r="H87" s="24" t="s">
        <v>182</v>
      </c>
      <c r="I87" s="21" t="s">
        <v>179</v>
      </c>
      <c r="J87" s="25">
        <v>0.001</v>
      </c>
      <c r="K87" s="25"/>
      <c r="L87" s="25"/>
      <c r="M87" s="46"/>
    </row>
    <row r="88" ht="18.75" spans="2:13">
      <c r="B88" s="28">
        <f t="shared" si="2"/>
        <v>428</v>
      </c>
      <c r="C88" s="28">
        <v>2</v>
      </c>
      <c r="D88" s="28" t="s">
        <v>303</v>
      </c>
      <c r="E88" s="41" t="s">
        <v>304</v>
      </c>
      <c r="F88" s="28" t="s">
        <v>109</v>
      </c>
      <c r="G88" s="28" t="s">
        <v>263</v>
      </c>
      <c r="H88" s="24" t="s">
        <v>182</v>
      </c>
      <c r="I88" s="21" t="s">
        <v>179</v>
      </c>
      <c r="J88" s="25">
        <v>0.001</v>
      </c>
      <c r="K88" s="25"/>
      <c r="L88" s="25"/>
      <c r="M88" s="46"/>
    </row>
    <row r="89" ht="18.75" spans="2:13">
      <c r="B89" s="28">
        <f t="shared" si="2"/>
        <v>430</v>
      </c>
      <c r="C89" s="28">
        <v>2</v>
      </c>
      <c r="D89" s="28" t="s">
        <v>305</v>
      </c>
      <c r="E89" s="41" t="s">
        <v>306</v>
      </c>
      <c r="F89" s="28" t="s">
        <v>109</v>
      </c>
      <c r="G89" s="28" t="s">
        <v>263</v>
      </c>
      <c r="H89" s="24" t="s">
        <v>182</v>
      </c>
      <c r="I89" s="21" t="s">
        <v>179</v>
      </c>
      <c r="J89" s="25">
        <v>0.001</v>
      </c>
      <c r="K89" s="25"/>
      <c r="L89" s="25"/>
      <c r="M89" s="46"/>
    </row>
    <row r="90" ht="18.75" spans="2:13">
      <c r="B90" s="28">
        <f t="shared" si="2"/>
        <v>432</v>
      </c>
      <c r="C90" s="28">
        <v>2</v>
      </c>
      <c r="D90" s="28" t="s">
        <v>307</v>
      </c>
      <c r="E90" s="41" t="s">
        <v>308</v>
      </c>
      <c r="F90" s="28" t="s">
        <v>109</v>
      </c>
      <c r="G90" s="28" t="s">
        <v>270</v>
      </c>
      <c r="H90" s="24" t="s">
        <v>182</v>
      </c>
      <c r="I90" s="21" t="s">
        <v>179</v>
      </c>
      <c r="J90" s="25">
        <v>0.001</v>
      </c>
      <c r="K90" s="25"/>
      <c r="L90" s="25"/>
      <c r="M90" s="46"/>
    </row>
    <row r="91" ht="18.75" spans="2:13">
      <c r="B91" s="28">
        <f t="shared" si="2"/>
        <v>434</v>
      </c>
      <c r="C91" s="28">
        <v>2</v>
      </c>
      <c r="D91" s="28" t="s">
        <v>309</v>
      </c>
      <c r="E91" s="41" t="s">
        <v>310</v>
      </c>
      <c r="F91" s="28" t="s">
        <v>109</v>
      </c>
      <c r="G91" s="28" t="s">
        <v>277</v>
      </c>
      <c r="H91" s="24" t="s">
        <v>182</v>
      </c>
      <c r="I91" s="21" t="s">
        <v>179</v>
      </c>
      <c r="J91" s="25">
        <v>0.001</v>
      </c>
      <c r="K91" s="25"/>
      <c r="L91" s="25"/>
      <c r="M91" s="46"/>
    </row>
    <row r="92" ht="18.75" spans="2:13">
      <c r="B92" s="28">
        <f t="shared" si="2"/>
        <v>436</v>
      </c>
      <c r="C92" s="28">
        <v>2</v>
      </c>
      <c r="D92" s="28" t="s">
        <v>311</v>
      </c>
      <c r="E92" s="41" t="s">
        <v>312</v>
      </c>
      <c r="F92" s="28" t="s">
        <v>109</v>
      </c>
      <c r="G92" s="28" t="s">
        <v>284</v>
      </c>
      <c r="H92" s="24" t="s">
        <v>182</v>
      </c>
      <c r="I92" s="21" t="s">
        <v>179</v>
      </c>
      <c r="J92" s="25">
        <v>0.001</v>
      </c>
      <c r="K92" s="25"/>
      <c r="L92" s="25"/>
      <c r="M92" s="46"/>
    </row>
    <row r="93" ht="18.75" spans="2:13">
      <c r="B93" s="28">
        <f t="shared" si="2"/>
        <v>438</v>
      </c>
      <c r="C93" s="28">
        <v>2</v>
      </c>
      <c r="D93" s="28" t="s">
        <v>313</v>
      </c>
      <c r="E93" s="41" t="s">
        <v>314</v>
      </c>
      <c r="F93" s="28" t="s">
        <v>109</v>
      </c>
      <c r="G93" s="28"/>
      <c r="H93" s="24" t="s">
        <v>182</v>
      </c>
      <c r="I93" s="21" t="s">
        <v>179</v>
      </c>
      <c r="J93" s="25">
        <v>0.001</v>
      </c>
      <c r="K93" s="25"/>
      <c r="L93" s="25"/>
      <c r="M93" s="46"/>
    </row>
    <row r="94" ht="18.75" spans="2:13">
      <c r="B94" s="28">
        <f t="shared" si="2"/>
        <v>440</v>
      </c>
      <c r="C94" s="28">
        <v>2</v>
      </c>
      <c r="D94" s="28" t="s">
        <v>315</v>
      </c>
      <c r="E94" s="41" t="s">
        <v>316</v>
      </c>
      <c r="F94" s="28" t="s">
        <v>109</v>
      </c>
      <c r="G94" s="28"/>
      <c r="H94" s="24" t="s">
        <v>182</v>
      </c>
      <c r="I94" s="21" t="s">
        <v>179</v>
      </c>
      <c r="J94" s="25">
        <v>0.001</v>
      </c>
      <c r="K94" s="25"/>
      <c r="L94" s="25"/>
      <c r="M94" s="46"/>
    </row>
    <row r="95" ht="18.75" spans="2:13">
      <c r="B95" s="28">
        <f t="shared" si="2"/>
        <v>442</v>
      </c>
      <c r="C95" s="28">
        <v>2</v>
      </c>
      <c r="D95" s="28" t="s">
        <v>317</v>
      </c>
      <c r="E95" s="41" t="s">
        <v>318</v>
      </c>
      <c r="F95" s="28" t="s">
        <v>109</v>
      </c>
      <c r="G95" s="28" t="s">
        <v>319</v>
      </c>
      <c r="H95" s="24" t="s">
        <v>182</v>
      </c>
      <c r="I95" s="21" t="s">
        <v>179</v>
      </c>
      <c r="J95" s="25">
        <v>0.001</v>
      </c>
      <c r="K95" s="25"/>
      <c r="L95" s="25"/>
      <c r="M95" s="46"/>
    </row>
    <row r="96" ht="18.75" spans="2:13">
      <c r="B96" s="28">
        <f t="shared" si="2"/>
        <v>444</v>
      </c>
      <c r="C96" s="28">
        <v>2</v>
      </c>
      <c r="D96" s="28" t="s">
        <v>320</v>
      </c>
      <c r="E96" s="41" t="s">
        <v>321</v>
      </c>
      <c r="F96" s="28" t="s">
        <v>109</v>
      </c>
      <c r="G96" s="28"/>
      <c r="H96" s="24" t="s">
        <v>182</v>
      </c>
      <c r="I96" s="21" t="s">
        <v>179</v>
      </c>
      <c r="J96" s="25">
        <v>0.001</v>
      </c>
      <c r="K96" s="25"/>
      <c r="L96" s="25"/>
      <c r="M96" s="46"/>
    </row>
    <row r="97" ht="18.75" spans="2:13">
      <c r="B97" s="28">
        <f t="shared" si="2"/>
        <v>446</v>
      </c>
      <c r="C97" s="28">
        <v>2</v>
      </c>
      <c r="D97" s="28" t="s">
        <v>322</v>
      </c>
      <c r="E97" s="41" t="s">
        <v>323</v>
      </c>
      <c r="F97" s="28" t="s">
        <v>109</v>
      </c>
      <c r="G97" s="28"/>
      <c r="H97" s="24" t="s">
        <v>182</v>
      </c>
      <c r="I97" s="21" t="s">
        <v>179</v>
      </c>
      <c r="J97" s="25">
        <v>0.001</v>
      </c>
      <c r="K97" s="25"/>
      <c r="L97" s="25"/>
      <c r="M97" s="46"/>
    </row>
    <row r="98" ht="18.75" spans="2:13">
      <c r="B98" s="28">
        <f t="shared" si="2"/>
        <v>448</v>
      </c>
      <c r="C98" s="28">
        <v>2</v>
      </c>
      <c r="D98" s="28" t="s">
        <v>324</v>
      </c>
      <c r="E98" s="41" t="s">
        <v>325</v>
      </c>
      <c r="F98" s="28" t="s">
        <v>109</v>
      </c>
      <c r="G98" s="28" t="s">
        <v>284</v>
      </c>
      <c r="H98" s="24" t="s">
        <v>182</v>
      </c>
      <c r="I98" s="21" t="s">
        <v>179</v>
      </c>
      <c r="J98" s="25">
        <v>0.001</v>
      </c>
      <c r="K98" s="25"/>
      <c r="L98" s="25"/>
      <c r="M98" s="46"/>
    </row>
    <row r="99" ht="18.75" spans="2:13">
      <c r="B99" s="28">
        <f t="shared" si="2"/>
        <v>450</v>
      </c>
      <c r="C99" s="28">
        <v>2</v>
      </c>
      <c r="D99" s="28" t="s">
        <v>326</v>
      </c>
      <c r="E99" s="41" t="s">
        <v>327</v>
      </c>
      <c r="F99" s="28" t="s">
        <v>109</v>
      </c>
      <c r="G99" s="28" t="s">
        <v>284</v>
      </c>
      <c r="H99" s="24" t="s">
        <v>182</v>
      </c>
      <c r="I99" s="21" t="s">
        <v>179</v>
      </c>
      <c r="J99" s="25">
        <v>0.001</v>
      </c>
      <c r="K99" s="25"/>
      <c r="L99" s="25"/>
      <c r="M99" s="46"/>
    </row>
    <row r="100" ht="18.75" spans="2:13">
      <c r="B100" s="28">
        <f t="shared" si="2"/>
        <v>452</v>
      </c>
      <c r="C100" s="28">
        <v>2</v>
      </c>
      <c r="D100" s="28" t="s">
        <v>328</v>
      </c>
      <c r="E100" s="41" t="s">
        <v>329</v>
      </c>
      <c r="F100" s="28" t="s">
        <v>109</v>
      </c>
      <c r="G100" s="28"/>
      <c r="H100" s="24" t="s">
        <v>182</v>
      </c>
      <c r="I100" s="21" t="s">
        <v>179</v>
      </c>
      <c r="J100" s="25">
        <v>0.001</v>
      </c>
      <c r="K100" s="25"/>
      <c r="L100" s="25"/>
      <c r="M100" s="46"/>
    </row>
    <row r="101" ht="18.75" spans="2:13">
      <c r="B101" s="28">
        <f t="shared" si="2"/>
        <v>454</v>
      </c>
      <c r="C101" s="28">
        <v>2</v>
      </c>
      <c r="D101" s="28" t="s">
        <v>330</v>
      </c>
      <c r="E101" s="41" t="s">
        <v>331</v>
      </c>
      <c r="F101" s="28" t="s">
        <v>109</v>
      </c>
      <c r="G101" s="28" t="s">
        <v>332</v>
      </c>
      <c r="H101" s="24" t="s">
        <v>182</v>
      </c>
      <c r="I101" s="21" t="s">
        <v>179</v>
      </c>
      <c r="J101" s="25">
        <v>0.001</v>
      </c>
      <c r="K101" s="25"/>
      <c r="L101" s="25"/>
      <c r="M101" s="46"/>
    </row>
    <row r="102" ht="37.5" spans="2:13">
      <c r="B102" s="28">
        <f t="shared" si="2"/>
        <v>456</v>
      </c>
      <c r="C102" s="28">
        <v>2</v>
      </c>
      <c r="D102" s="28" t="s">
        <v>333</v>
      </c>
      <c r="E102" s="41" t="s">
        <v>334</v>
      </c>
      <c r="F102" s="28" t="s">
        <v>109</v>
      </c>
      <c r="G102" s="28" t="s">
        <v>270</v>
      </c>
      <c r="H102" s="24" t="s">
        <v>182</v>
      </c>
      <c r="I102" s="21" t="s">
        <v>179</v>
      </c>
      <c r="J102" s="25">
        <v>0.001</v>
      </c>
      <c r="K102" s="25"/>
      <c r="L102" s="25"/>
      <c r="M102" s="46"/>
    </row>
    <row r="103" ht="37.5" spans="2:13">
      <c r="B103" s="28">
        <f t="shared" si="2"/>
        <v>458</v>
      </c>
      <c r="C103" s="28">
        <v>2</v>
      </c>
      <c r="D103" s="28" t="s">
        <v>335</v>
      </c>
      <c r="E103" s="41" t="s">
        <v>336</v>
      </c>
      <c r="F103" s="28" t="s">
        <v>109</v>
      </c>
      <c r="G103" s="28" t="s">
        <v>270</v>
      </c>
      <c r="H103" s="24" t="s">
        <v>182</v>
      </c>
      <c r="I103" s="21" t="s">
        <v>179</v>
      </c>
      <c r="J103" s="25">
        <v>0.001</v>
      </c>
      <c r="K103" s="25"/>
      <c r="L103" s="25"/>
      <c r="M103" s="46"/>
    </row>
    <row r="104" ht="37.5" spans="2:13">
      <c r="B104" s="28">
        <f t="shared" si="2"/>
        <v>460</v>
      </c>
      <c r="C104" s="28">
        <v>2</v>
      </c>
      <c r="D104" s="28" t="s">
        <v>337</v>
      </c>
      <c r="E104" s="41" t="s">
        <v>338</v>
      </c>
      <c r="F104" s="28" t="s">
        <v>109</v>
      </c>
      <c r="G104" s="28" t="s">
        <v>277</v>
      </c>
      <c r="H104" s="24" t="s">
        <v>182</v>
      </c>
      <c r="I104" s="21" t="s">
        <v>179</v>
      </c>
      <c r="J104" s="25">
        <v>0.001</v>
      </c>
      <c r="K104" s="25"/>
      <c r="L104" s="25"/>
      <c r="M104" s="46"/>
    </row>
    <row r="105" ht="37.5" spans="2:13">
      <c r="B105" s="28">
        <f t="shared" si="2"/>
        <v>462</v>
      </c>
      <c r="C105" s="28">
        <v>2</v>
      </c>
      <c r="D105" s="28" t="s">
        <v>339</v>
      </c>
      <c r="E105" s="41" t="s">
        <v>340</v>
      </c>
      <c r="F105" s="28" t="s">
        <v>109</v>
      </c>
      <c r="G105" s="28" t="s">
        <v>277</v>
      </c>
      <c r="H105" s="24" t="s">
        <v>182</v>
      </c>
      <c r="I105" s="21" t="s">
        <v>179</v>
      </c>
      <c r="J105" s="25">
        <v>0.001</v>
      </c>
      <c r="K105" s="25"/>
      <c r="L105" s="25"/>
      <c r="M105" s="46"/>
    </row>
    <row r="106" ht="37.5" spans="2:13">
      <c r="B106" s="28">
        <f t="shared" si="2"/>
        <v>464</v>
      </c>
      <c r="C106" s="28">
        <v>2</v>
      </c>
      <c r="D106" s="28" t="s">
        <v>341</v>
      </c>
      <c r="E106" s="41" t="s">
        <v>342</v>
      </c>
      <c r="F106" s="28" t="s">
        <v>109</v>
      </c>
      <c r="G106" s="28" t="s">
        <v>263</v>
      </c>
      <c r="H106" s="24" t="s">
        <v>182</v>
      </c>
      <c r="I106" s="21" t="s">
        <v>179</v>
      </c>
      <c r="J106" s="25">
        <v>0.001</v>
      </c>
      <c r="K106" s="25"/>
      <c r="L106" s="25"/>
      <c r="M106" s="46"/>
    </row>
    <row r="107" ht="37.5" spans="2:13">
      <c r="B107" s="28">
        <f t="shared" si="2"/>
        <v>466</v>
      </c>
      <c r="C107" s="28">
        <v>2</v>
      </c>
      <c r="D107" s="28" t="s">
        <v>343</v>
      </c>
      <c r="E107" s="41" t="s">
        <v>344</v>
      </c>
      <c r="F107" s="28" t="s">
        <v>109</v>
      </c>
      <c r="G107" s="28" t="s">
        <v>263</v>
      </c>
      <c r="H107" s="24" t="s">
        <v>182</v>
      </c>
      <c r="I107" s="21" t="s">
        <v>179</v>
      </c>
      <c r="J107" s="25">
        <v>0.001</v>
      </c>
      <c r="K107" s="25"/>
      <c r="L107" s="25"/>
      <c r="M107" s="46"/>
    </row>
    <row r="108" ht="37.5" spans="2:13">
      <c r="B108" s="28">
        <f t="shared" si="2"/>
        <v>468</v>
      </c>
      <c r="C108" s="28">
        <v>2</v>
      </c>
      <c r="D108" s="28" t="s">
        <v>345</v>
      </c>
      <c r="E108" s="41" t="s">
        <v>346</v>
      </c>
      <c r="F108" s="28" t="s">
        <v>109</v>
      </c>
      <c r="G108" s="28" t="s">
        <v>284</v>
      </c>
      <c r="H108" s="24" t="s">
        <v>182</v>
      </c>
      <c r="I108" s="21" t="s">
        <v>179</v>
      </c>
      <c r="J108" s="25">
        <v>0.001</v>
      </c>
      <c r="K108" s="25"/>
      <c r="L108" s="25"/>
      <c r="M108" s="46"/>
    </row>
    <row r="109" ht="37.5" spans="2:13">
      <c r="B109" s="28">
        <f t="shared" si="2"/>
        <v>470</v>
      </c>
      <c r="C109" s="28">
        <v>2</v>
      </c>
      <c r="D109" s="28" t="s">
        <v>347</v>
      </c>
      <c r="E109" s="41" t="s">
        <v>348</v>
      </c>
      <c r="F109" s="28" t="s">
        <v>109</v>
      </c>
      <c r="G109" s="28" t="s">
        <v>284</v>
      </c>
      <c r="H109" s="24" t="s">
        <v>182</v>
      </c>
      <c r="I109" s="21" t="s">
        <v>179</v>
      </c>
      <c r="J109" s="25">
        <v>0.001</v>
      </c>
      <c r="K109" s="25"/>
      <c r="L109" s="25"/>
      <c r="M109" s="46"/>
    </row>
    <row r="110" ht="18.75" spans="2:13">
      <c r="B110" s="28">
        <f t="shared" si="2"/>
        <v>472</v>
      </c>
      <c r="C110" s="28">
        <v>2</v>
      </c>
      <c r="D110" s="28" t="s">
        <v>349</v>
      </c>
      <c r="E110" s="41" t="s">
        <v>350</v>
      </c>
      <c r="F110" s="28" t="s">
        <v>109</v>
      </c>
      <c r="G110" s="28" t="s">
        <v>256</v>
      </c>
      <c r="H110" s="24" t="s">
        <v>182</v>
      </c>
      <c r="I110" s="21" t="s">
        <v>179</v>
      </c>
      <c r="J110" s="25">
        <v>0.001</v>
      </c>
      <c r="K110" s="25"/>
      <c r="L110" s="25"/>
      <c r="M110" s="46"/>
    </row>
    <row r="111" ht="18.75" spans="2:13">
      <c r="B111" s="28">
        <f t="shared" si="2"/>
        <v>474</v>
      </c>
      <c r="C111" s="28">
        <v>2</v>
      </c>
      <c r="D111" s="28" t="s">
        <v>351</v>
      </c>
      <c r="E111" s="41" t="s">
        <v>352</v>
      </c>
      <c r="F111" s="28" t="s">
        <v>109</v>
      </c>
      <c r="G111" s="28" t="s">
        <v>256</v>
      </c>
      <c r="H111" s="24" t="s">
        <v>182</v>
      </c>
      <c r="I111" s="21" t="s">
        <v>179</v>
      </c>
      <c r="J111" s="25">
        <v>0.001</v>
      </c>
      <c r="K111" s="25"/>
      <c r="L111" s="25"/>
      <c r="M111" s="46"/>
    </row>
    <row r="112" ht="18.75" spans="2:13">
      <c r="B112" s="28">
        <f t="shared" si="2"/>
        <v>476</v>
      </c>
      <c r="C112" s="28">
        <v>2</v>
      </c>
      <c r="D112" s="28" t="s">
        <v>353</v>
      </c>
      <c r="E112" s="41" t="s">
        <v>354</v>
      </c>
      <c r="F112" s="28" t="s">
        <v>109</v>
      </c>
      <c r="G112" s="28" t="s">
        <v>256</v>
      </c>
      <c r="H112" s="24" t="s">
        <v>182</v>
      </c>
      <c r="I112" s="21" t="s">
        <v>179</v>
      </c>
      <c r="J112" s="25">
        <v>0.001</v>
      </c>
      <c r="K112" s="25"/>
      <c r="L112" s="25"/>
      <c r="M112" s="46"/>
    </row>
    <row r="113" ht="37.5" spans="2:13">
      <c r="B113" s="28">
        <f t="shared" si="2"/>
        <v>478</v>
      </c>
      <c r="C113" s="28">
        <v>2</v>
      </c>
      <c r="D113" s="28" t="s">
        <v>355</v>
      </c>
      <c r="E113" s="41" t="s">
        <v>356</v>
      </c>
      <c r="F113" s="28" t="s">
        <v>109</v>
      </c>
      <c r="G113" s="28" t="s">
        <v>256</v>
      </c>
      <c r="H113" s="24" t="s">
        <v>182</v>
      </c>
      <c r="I113" s="21" t="s">
        <v>179</v>
      </c>
      <c r="J113" s="25">
        <v>0.001</v>
      </c>
      <c r="K113" s="25"/>
      <c r="L113" s="25"/>
      <c r="M113" s="46"/>
    </row>
    <row r="114" ht="18.75" spans="2:13">
      <c r="B114" s="28">
        <f t="shared" si="2"/>
        <v>480</v>
      </c>
      <c r="C114" s="28">
        <v>2</v>
      </c>
      <c r="D114" s="28" t="s">
        <v>357</v>
      </c>
      <c r="E114" s="41" t="s">
        <v>358</v>
      </c>
      <c r="F114" s="28" t="s">
        <v>109</v>
      </c>
      <c r="G114" s="28" t="s">
        <v>263</v>
      </c>
      <c r="H114" s="24" t="s">
        <v>182</v>
      </c>
      <c r="I114" s="21" t="s">
        <v>179</v>
      </c>
      <c r="J114" s="25">
        <v>0.001</v>
      </c>
      <c r="K114" s="25"/>
      <c r="L114" s="25"/>
      <c r="M114" s="46"/>
    </row>
    <row r="115" ht="37.5" spans="2:13">
      <c r="B115" s="28">
        <f t="shared" si="2"/>
        <v>482</v>
      </c>
      <c r="C115" s="28">
        <v>2</v>
      </c>
      <c r="D115" s="28" t="s">
        <v>359</v>
      </c>
      <c r="E115" s="41" t="s">
        <v>360</v>
      </c>
      <c r="F115" s="28" t="s">
        <v>109</v>
      </c>
      <c r="G115" s="28" t="s">
        <v>149</v>
      </c>
      <c r="H115" s="24" t="s">
        <v>182</v>
      </c>
      <c r="I115" s="21" t="s">
        <v>179</v>
      </c>
      <c r="J115" s="25">
        <v>0.001</v>
      </c>
      <c r="K115" s="25"/>
      <c r="L115" s="25"/>
      <c r="M115" s="46"/>
    </row>
    <row r="116" ht="37.5" spans="2:13">
      <c r="B116" s="28">
        <f t="shared" si="2"/>
        <v>484</v>
      </c>
      <c r="C116" s="28">
        <v>2</v>
      </c>
      <c r="D116" s="28" t="s">
        <v>361</v>
      </c>
      <c r="E116" s="41" t="s">
        <v>362</v>
      </c>
      <c r="F116" s="28" t="s">
        <v>109</v>
      </c>
      <c r="G116" s="28" t="s">
        <v>149</v>
      </c>
      <c r="H116" s="24" t="s">
        <v>182</v>
      </c>
      <c r="I116" s="21" t="s">
        <v>179</v>
      </c>
      <c r="J116" s="25">
        <v>0.001</v>
      </c>
      <c r="K116" s="25"/>
      <c r="L116" s="25"/>
      <c r="M116" s="46"/>
    </row>
    <row r="117" ht="37.5" spans="2:13">
      <c r="B117" s="28">
        <f t="shared" si="2"/>
        <v>486</v>
      </c>
      <c r="C117" s="28">
        <v>2</v>
      </c>
      <c r="D117" s="28" t="s">
        <v>363</v>
      </c>
      <c r="E117" s="41" t="s">
        <v>364</v>
      </c>
      <c r="F117" s="28" t="s">
        <v>109</v>
      </c>
      <c r="G117" s="28" t="s">
        <v>149</v>
      </c>
      <c r="H117" s="24" t="s">
        <v>182</v>
      </c>
      <c r="I117" s="21" t="s">
        <v>179</v>
      </c>
      <c r="J117" s="25">
        <v>0.001</v>
      </c>
      <c r="K117" s="25"/>
      <c r="L117" s="25"/>
      <c r="M117" s="46"/>
    </row>
    <row r="118" ht="37.5" spans="2:13">
      <c r="B118" s="28">
        <f t="shared" si="2"/>
        <v>488</v>
      </c>
      <c r="C118" s="28">
        <v>2</v>
      </c>
      <c r="D118" s="28" t="s">
        <v>365</v>
      </c>
      <c r="E118" s="41" t="s">
        <v>366</v>
      </c>
      <c r="F118" s="28" t="s">
        <v>109</v>
      </c>
      <c r="G118" s="28" t="s">
        <v>149</v>
      </c>
      <c r="H118" s="24" t="s">
        <v>182</v>
      </c>
      <c r="I118" s="21" t="s">
        <v>179</v>
      </c>
      <c r="J118" s="25">
        <v>0.001</v>
      </c>
      <c r="K118" s="25"/>
      <c r="L118" s="25"/>
      <c r="M118" s="46"/>
    </row>
    <row r="119" ht="37.5" spans="2:13">
      <c r="B119" s="28">
        <f t="shared" si="2"/>
        <v>490</v>
      </c>
      <c r="C119" s="28">
        <v>2</v>
      </c>
      <c r="D119" s="28" t="s">
        <v>367</v>
      </c>
      <c r="E119" s="41" t="s">
        <v>368</v>
      </c>
      <c r="F119" s="28" t="s">
        <v>109</v>
      </c>
      <c r="G119" s="28" t="s">
        <v>149</v>
      </c>
      <c r="H119" s="24" t="s">
        <v>182</v>
      </c>
      <c r="I119" s="21" t="s">
        <v>179</v>
      </c>
      <c r="J119" s="25">
        <v>0.001</v>
      </c>
      <c r="K119" s="25"/>
      <c r="L119" s="25"/>
      <c r="M119" s="46"/>
    </row>
    <row r="120" ht="37.5" spans="2:13">
      <c r="B120" s="28">
        <f t="shared" si="2"/>
        <v>492</v>
      </c>
      <c r="C120" s="28">
        <v>2</v>
      </c>
      <c r="D120" s="28" t="s">
        <v>369</v>
      </c>
      <c r="E120" s="41" t="s">
        <v>370</v>
      </c>
      <c r="F120" s="28" t="s">
        <v>109</v>
      </c>
      <c r="G120" s="28" t="s">
        <v>149</v>
      </c>
      <c r="H120" s="24" t="s">
        <v>182</v>
      </c>
      <c r="I120" s="21" t="s">
        <v>179</v>
      </c>
      <c r="J120" s="25">
        <v>0.001</v>
      </c>
      <c r="K120" s="25"/>
      <c r="L120" s="25"/>
      <c r="M120" s="46"/>
    </row>
    <row r="121" ht="37.5" spans="2:13">
      <c r="B121" s="28">
        <f t="shared" si="2"/>
        <v>494</v>
      </c>
      <c r="C121" s="28">
        <v>2</v>
      </c>
      <c r="D121" s="28" t="s">
        <v>371</v>
      </c>
      <c r="E121" s="41" t="s">
        <v>372</v>
      </c>
      <c r="F121" s="28" t="s">
        <v>109</v>
      </c>
      <c r="G121" s="28" t="s">
        <v>149</v>
      </c>
      <c r="H121" s="24" t="s">
        <v>182</v>
      </c>
      <c r="I121" s="21" t="s">
        <v>179</v>
      </c>
      <c r="J121" s="25">
        <v>0.001</v>
      </c>
      <c r="K121" s="25"/>
      <c r="L121" s="25"/>
      <c r="M121" s="46"/>
    </row>
    <row r="122" ht="37.5" spans="2:13">
      <c r="B122" s="28">
        <f t="shared" si="2"/>
        <v>496</v>
      </c>
      <c r="C122" s="28">
        <v>2</v>
      </c>
      <c r="D122" s="28" t="s">
        <v>373</v>
      </c>
      <c r="E122" s="41" t="s">
        <v>374</v>
      </c>
      <c r="F122" s="28" t="s">
        <v>109</v>
      </c>
      <c r="G122" s="28" t="s">
        <v>149</v>
      </c>
      <c r="H122" s="24" t="s">
        <v>182</v>
      </c>
      <c r="I122" s="21" t="s">
        <v>179</v>
      </c>
      <c r="J122" s="25">
        <v>0.001</v>
      </c>
      <c r="K122" s="25"/>
      <c r="L122" s="25"/>
      <c r="M122" s="46"/>
    </row>
    <row r="123" ht="37.5" spans="2:13">
      <c r="B123" s="28">
        <f t="shared" si="2"/>
        <v>498</v>
      </c>
      <c r="C123" s="28">
        <v>2</v>
      </c>
      <c r="D123" s="28" t="s">
        <v>375</v>
      </c>
      <c r="E123" s="41" t="s">
        <v>376</v>
      </c>
      <c r="F123" s="28" t="s">
        <v>109</v>
      </c>
      <c r="G123" s="28"/>
      <c r="H123" s="24" t="s">
        <v>182</v>
      </c>
      <c r="I123" s="21" t="s">
        <v>179</v>
      </c>
      <c r="J123" s="25">
        <v>0.001</v>
      </c>
      <c r="K123" s="25"/>
      <c r="L123" s="25"/>
      <c r="M123" s="46"/>
    </row>
    <row r="124" ht="18.75" spans="2:13">
      <c r="B124" s="28">
        <f t="shared" si="2"/>
        <v>500</v>
      </c>
      <c r="C124" s="28">
        <v>2</v>
      </c>
      <c r="D124" s="28" t="s">
        <v>377</v>
      </c>
      <c r="E124" s="41" t="s">
        <v>378</v>
      </c>
      <c r="F124" s="28" t="s">
        <v>109</v>
      </c>
      <c r="G124" s="28" t="s">
        <v>263</v>
      </c>
      <c r="H124" s="24" t="s">
        <v>182</v>
      </c>
      <c r="I124" s="21" t="s">
        <v>179</v>
      </c>
      <c r="J124" s="25">
        <v>0.001</v>
      </c>
      <c r="K124" s="25"/>
      <c r="L124" s="25"/>
      <c r="M124" s="46"/>
    </row>
    <row r="125" ht="18.75" spans="2:13">
      <c r="B125" s="28">
        <f t="shared" si="2"/>
        <v>502</v>
      </c>
      <c r="C125" s="28">
        <v>2</v>
      </c>
      <c r="D125" s="28" t="s">
        <v>379</v>
      </c>
      <c r="E125" s="41" t="s">
        <v>380</v>
      </c>
      <c r="F125" s="28" t="s">
        <v>109</v>
      </c>
      <c r="G125" s="28" t="s">
        <v>263</v>
      </c>
      <c r="H125" s="24" t="s">
        <v>182</v>
      </c>
      <c r="I125" s="21" t="s">
        <v>179</v>
      </c>
      <c r="J125" s="25">
        <v>0.001</v>
      </c>
      <c r="K125" s="25"/>
      <c r="L125" s="25"/>
      <c r="M125" s="46"/>
    </row>
    <row r="126" ht="18.75" spans="2:13">
      <c r="B126" s="28">
        <f t="shared" si="2"/>
        <v>504</v>
      </c>
      <c r="C126" s="28">
        <v>2</v>
      </c>
      <c r="D126" s="28" t="s">
        <v>381</v>
      </c>
      <c r="E126" s="41" t="s">
        <v>382</v>
      </c>
      <c r="F126" s="28" t="s">
        <v>109</v>
      </c>
      <c r="G126" s="28" t="s">
        <v>263</v>
      </c>
      <c r="H126" s="24" t="s">
        <v>182</v>
      </c>
      <c r="I126" s="21" t="s">
        <v>179</v>
      </c>
      <c r="J126" s="25">
        <v>0.001</v>
      </c>
      <c r="K126" s="25"/>
      <c r="L126" s="25"/>
      <c r="M126" s="46"/>
    </row>
    <row r="127" ht="18.75" spans="2:13">
      <c r="B127" s="28">
        <f t="shared" si="2"/>
        <v>506</v>
      </c>
      <c r="C127" s="28">
        <v>2</v>
      </c>
      <c r="D127" s="28" t="s">
        <v>383</v>
      </c>
      <c r="E127" s="41" t="s">
        <v>384</v>
      </c>
      <c r="F127" s="28" t="s">
        <v>109</v>
      </c>
      <c r="G127" s="28" t="s">
        <v>263</v>
      </c>
      <c r="H127" s="24" t="s">
        <v>182</v>
      </c>
      <c r="I127" s="21" t="s">
        <v>179</v>
      </c>
      <c r="J127" s="25">
        <v>0.001</v>
      </c>
      <c r="K127" s="25"/>
      <c r="L127" s="25"/>
      <c r="M127" s="46"/>
    </row>
    <row r="128" ht="18.75" spans="2:13">
      <c r="B128" s="28">
        <f t="shared" si="2"/>
        <v>508</v>
      </c>
      <c r="C128" s="28">
        <v>2</v>
      </c>
      <c r="D128" s="28" t="s">
        <v>385</v>
      </c>
      <c r="E128" s="41" t="s">
        <v>386</v>
      </c>
      <c r="F128" s="28" t="s">
        <v>109</v>
      </c>
      <c r="G128" s="28" t="s">
        <v>263</v>
      </c>
      <c r="H128" s="24" t="s">
        <v>182</v>
      </c>
      <c r="I128" s="21" t="s">
        <v>179</v>
      </c>
      <c r="J128" s="25">
        <v>0.001</v>
      </c>
      <c r="K128" s="25"/>
      <c r="L128" s="25"/>
      <c r="M128" s="46"/>
    </row>
    <row r="129" ht="18.75" spans="2:13">
      <c r="B129" s="28">
        <f t="shared" si="2"/>
        <v>510</v>
      </c>
      <c r="C129" s="28">
        <v>2</v>
      </c>
      <c r="D129" s="28" t="s">
        <v>387</v>
      </c>
      <c r="E129" s="41" t="s">
        <v>388</v>
      </c>
      <c r="F129" s="28" t="s">
        <v>109</v>
      </c>
      <c r="G129" s="28" t="s">
        <v>263</v>
      </c>
      <c r="H129" s="24" t="s">
        <v>182</v>
      </c>
      <c r="I129" s="21" t="s">
        <v>179</v>
      </c>
      <c r="J129" s="25">
        <v>0.001</v>
      </c>
      <c r="K129" s="25"/>
      <c r="L129" s="25"/>
      <c r="M129" s="46"/>
    </row>
    <row r="130" ht="18.75" spans="2:13">
      <c r="B130" s="28">
        <f t="shared" si="2"/>
        <v>512</v>
      </c>
      <c r="C130" s="28">
        <v>2</v>
      </c>
      <c r="D130" s="28" t="s">
        <v>389</v>
      </c>
      <c r="E130" s="41" t="s">
        <v>350</v>
      </c>
      <c r="F130" s="28" t="s">
        <v>109</v>
      </c>
      <c r="G130" s="28" t="s">
        <v>149</v>
      </c>
      <c r="H130" s="24" t="s">
        <v>182</v>
      </c>
      <c r="I130" s="21" t="s">
        <v>179</v>
      </c>
      <c r="J130" s="25">
        <v>0.001</v>
      </c>
      <c r="K130" s="25"/>
      <c r="L130" s="25"/>
      <c r="M130" s="46"/>
    </row>
    <row r="131" ht="18.75" spans="2:13">
      <c r="B131" s="28">
        <f t="shared" ref="B131:B155" si="3">B130+C130</f>
        <v>514</v>
      </c>
      <c r="C131" s="28">
        <v>2</v>
      </c>
      <c r="D131" s="28" t="s">
        <v>390</v>
      </c>
      <c r="E131" s="41" t="s">
        <v>352</v>
      </c>
      <c r="F131" s="28" t="s">
        <v>109</v>
      </c>
      <c r="G131" s="28" t="s">
        <v>149</v>
      </c>
      <c r="H131" s="24" t="s">
        <v>182</v>
      </c>
      <c r="I131" s="21" t="s">
        <v>179</v>
      </c>
      <c r="J131" s="25">
        <v>0.001</v>
      </c>
      <c r="K131" s="25"/>
      <c r="L131" s="25"/>
      <c r="M131" s="46"/>
    </row>
    <row r="132" ht="18.75" spans="2:13">
      <c r="B132" s="28">
        <f t="shared" si="3"/>
        <v>516</v>
      </c>
      <c r="C132" s="28">
        <v>2</v>
      </c>
      <c r="D132" s="28" t="s">
        <v>391</v>
      </c>
      <c r="E132" s="41" t="s">
        <v>354</v>
      </c>
      <c r="F132" s="28" t="s">
        <v>109</v>
      </c>
      <c r="G132" s="28" t="s">
        <v>149</v>
      </c>
      <c r="H132" s="24" t="s">
        <v>182</v>
      </c>
      <c r="I132" s="21" t="s">
        <v>179</v>
      </c>
      <c r="J132" s="25">
        <v>0.001</v>
      </c>
      <c r="K132" s="25"/>
      <c r="L132" s="25"/>
      <c r="M132" s="46"/>
    </row>
    <row r="133" ht="37.5" spans="2:13">
      <c r="B133" s="28">
        <f t="shared" si="3"/>
        <v>518</v>
      </c>
      <c r="C133" s="28">
        <v>2</v>
      </c>
      <c r="D133" s="28" t="s">
        <v>392</v>
      </c>
      <c r="E133" s="41" t="s">
        <v>393</v>
      </c>
      <c r="F133" s="28" t="s">
        <v>109</v>
      </c>
      <c r="G133" s="28" t="s">
        <v>149</v>
      </c>
      <c r="H133" s="24" t="s">
        <v>182</v>
      </c>
      <c r="I133" s="21" t="s">
        <v>179</v>
      </c>
      <c r="J133" s="25">
        <v>0.001</v>
      </c>
      <c r="K133" s="25"/>
      <c r="L133" s="25"/>
      <c r="M133" s="46"/>
    </row>
    <row r="134" ht="18.75" spans="2:13">
      <c r="B134" s="28">
        <f t="shared" si="3"/>
        <v>520</v>
      </c>
      <c r="C134" s="28">
        <v>2</v>
      </c>
      <c r="D134" s="28" t="s">
        <v>394</v>
      </c>
      <c r="E134" s="41" t="s">
        <v>395</v>
      </c>
      <c r="F134" s="28" t="s">
        <v>109</v>
      </c>
      <c r="G134" s="28" t="s">
        <v>270</v>
      </c>
      <c r="H134" s="24" t="s">
        <v>182</v>
      </c>
      <c r="I134" s="21" t="s">
        <v>179</v>
      </c>
      <c r="J134" s="25">
        <v>0.001</v>
      </c>
      <c r="K134" s="25"/>
      <c r="L134" s="25"/>
      <c r="M134" s="46"/>
    </row>
    <row r="135" ht="18.75" spans="2:13">
      <c r="B135" s="28">
        <f t="shared" si="3"/>
        <v>522</v>
      </c>
      <c r="C135" s="28">
        <v>2</v>
      </c>
      <c r="D135" s="28" t="s">
        <v>396</v>
      </c>
      <c r="E135" s="41" t="s">
        <v>397</v>
      </c>
      <c r="F135" s="28" t="s">
        <v>109</v>
      </c>
      <c r="G135" s="28" t="s">
        <v>284</v>
      </c>
      <c r="H135" s="24" t="s">
        <v>182</v>
      </c>
      <c r="I135" s="21" t="s">
        <v>179</v>
      </c>
      <c r="J135" s="25">
        <v>0.001</v>
      </c>
      <c r="K135" s="25"/>
      <c r="L135" s="25"/>
      <c r="M135" s="46"/>
    </row>
    <row r="136" ht="18.75" spans="2:13">
      <c r="B136" s="28">
        <f t="shared" si="3"/>
        <v>524</v>
      </c>
      <c r="C136" s="28">
        <v>2</v>
      </c>
      <c r="D136" s="28" t="s">
        <v>398</v>
      </c>
      <c r="E136" s="41" t="s">
        <v>399</v>
      </c>
      <c r="F136" s="28" t="s">
        <v>109</v>
      </c>
      <c r="G136" s="28" t="s">
        <v>155</v>
      </c>
      <c r="H136" s="24" t="s">
        <v>182</v>
      </c>
      <c r="I136" s="21" t="s">
        <v>179</v>
      </c>
      <c r="J136" s="25">
        <v>0.001</v>
      </c>
      <c r="K136" s="25"/>
      <c r="L136" s="25"/>
      <c r="M136" s="46"/>
    </row>
    <row r="137" ht="18.75" spans="2:13">
      <c r="B137" s="28">
        <f t="shared" si="3"/>
        <v>526</v>
      </c>
      <c r="C137" s="28">
        <v>2</v>
      </c>
      <c r="D137" s="28" t="s">
        <v>400</v>
      </c>
      <c r="E137" s="41" t="s">
        <v>401</v>
      </c>
      <c r="F137" s="28" t="s">
        <v>109</v>
      </c>
      <c r="G137" s="28" t="s">
        <v>155</v>
      </c>
      <c r="H137" s="24" t="s">
        <v>182</v>
      </c>
      <c r="I137" s="21" t="s">
        <v>179</v>
      </c>
      <c r="J137" s="25">
        <v>0.001</v>
      </c>
      <c r="K137" s="25"/>
      <c r="L137" s="25"/>
      <c r="M137" s="46"/>
    </row>
    <row r="138" ht="18.75" spans="2:13">
      <c r="B138" s="28">
        <f t="shared" si="3"/>
        <v>528</v>
      </c>
      <c r="C138" s="28">
        <v>2</v>
      </c>
      <c r="D138" s="28" t="s">
        <v>402</v>
      </c>
      <c r="E138" s="41" t="s">
        <v>403</v>
      </c>
      <c r="F138" s="28" t="s">
        <v>109</v>
      </c>
      <c r="G138" s="28" t="s">
        <v>155</v>
      </c>
      <c r="H138" s="24" t="s">
        <v>182</v>
      </c>
      <c r="I138" s="21" t="s">
        <v>179</v>
      </c>
      <c r="J138" s="25">
        <v>0.001</v>
      </c>
      <c r="K138" s="25"/>
      <c r="L138" s="25"/>
      <c r="M138" s="46"/>
    </row>
    <row r="139" ht="18.75" spans="2:13">
      <c r="B139" s="28">
        <f t="shared" si="3"/>
        <v>530</v>
      </c>
      <c r="C139" s="28">
        <v>2</v>
      </c>
      <c r="D139" s="28" t="s">
        <v>404</v>
      </c>
      <c r="E139" s="41" t="s">
        <v>405</v>
      </c>
      <c r="F139" s="28" t="s">
        <v>109</v>
      </c>
      <c r="G139" s="28" t="s">
        <v>155</v>
      </c>
      <c r="H139" s="24" t="s">
        <v>182</v>
      </c>
      <c r="I139" s="21" t="s">
        <v>179</v>
      </c>
      <c r="J139" s="25">
        <v>0.001</v>
      </c>
      <c r="K139" s="25"/>
      <c r="L139" s="25"/>
      <c r="M139" s="46"/>
    </row>
    <row r="140" ht="18.75" spans="2:13">
      <c r="B140" s="28">
        <f t="shared" si="3"/>
        <v>532</v>
      </c>
      <c r="C140" s="28">
        <v>2</v>
      </c>
      <c r="D140" s="28" t="s">
        <v>406</v>
      </c>
      <c r="E140" s="41" t="s">
        <v>407</v>
      </c>
      <c r="F140" s="28" t="s">
        <v>109</v>
      </c>
      <c r="G140" s="28" t="s">
        <v>155</v>
      </c>
      <c r="H140" s="24" t="s">
        <v>182</v>
      </c>
      <c r="I140" s="21" t="s">
        <v>179</v>
      </c>
      <c r="J140" s="25">
        <v>0.001</v>
      </c>
      <c r="K140" s="25"/>
      <c r="L140" s="25"/>
      <c r="M140" s="46"/>
    </row>
    <row r="141" ht="18.75" spans="2:13">
      <c r="B141" s="28">
        <f t="shared" si="3"/>
        <v>534</v>
      </c>
      <c r="C141" s="28">
        <v>2</v>
      </c>
      <c r="D141" s="28" t="s">
        <v>408</v>
      </c>
      <c r="E141" s="41" t="s">
        <v>409</v>
      </c>
      <c r="F141" s="28" t="s">
        <v>109</v>
      </c>
      <c r="G141" s="28" t="s">
        <v>155</v>
      </c>
      <c r="H141" s="24" t="s">
        <v>182</v>
      </c>
      <c r="I141" s="21" t="s">
        <v>179</v>
      </c>
      <c r="J141" s="25">
        <v>0.001</v>
      </c>
      <c r="K141" s="25"/>
      <c r="L141" s="25"/>
      <c r="M141" s="46"/>
    </row>
    <row r="142" ht="18.75" spans="2:13">
      <c r="B142" s="28">
        <f t="shared" si="3"/>
        <v>536</v>
      </c>
      <c r="C142" s="28">
        <v>2</v>
      </c>
      <c r="D142" s="28" t="s">
        <v>410</v>
      </c>
      <c r="E142" s="41" t="s">
        <v>411</v>
      </c>
      <c r="F142" s="28" t="s">
        <v>109</v>
      </c>
      <c r="G142" s="28" t="s">
        <v>155</v>
      </c>
      <c r="H142" s="24" t="s">
        <v>182</v>
      </c>
      <c r="I142" s="21" t="s">
        <v>179</v>
      </c>
      <c r="J142" s="25">
        <v>0.001</v>
      </c>
      <c r="K142" s="25"/>
      <c r="L142" s="25"/>
      <c r="M142" s="46"/>
    </row>
    <row r="143" ht="18.75" spans="2:13">
      <c r="B143" s="28">
        <f t="shared" si="3"/>
        <v>538</v>
      </c>
      <c r="C143" s="28">
        <v>2</v>
      </c>
      <c r="D143" s="28" t="s">
        <v>412</v>
      </c>
      <c r="E143" s="41" t="s">
        <v>413</v>
      </c>
      <c r="F143" s="28" t="s">
        <v>109</v>
      </c>
      <c r="G143" s="28" t="s">
        <v>155</v>
      </c>
      <c r="H143" s="24" t="s">
        <v>182</v>
      </c>
      <c r="I143" s="21" t="s">
        <v>179</v>
      </c>
      <c r="J143" s="25">
        <v>0.001</v>
      </c>
      <c r="K143" s="25"/>
      <c r="L143" s="25"/>
      <c r="M143" s="46"/>
    </row>
    <row r="144" ht="18.75" spans="2:13">
      <c r="B144" s="28">
        <f t="shared" si="3"/>
        <v>540</v>
      </c>
      <c r="C144" s="28">
        <v>2</v>
      </c>
      <c r="D144" s="28" t="s">
        <v>414</v>
      </c>
      <c r="E144" s="41" t="s">
        <v>415</v>
      </c>
      <c r="F144" s="28" t="s">
        <v>109</v>
      </c>
      <c r="G144" s="28" t="s">
        <v>155</v>
      </c>
      <c r="H144" s="24" t="s">
        <v>182</v>
      </c>
      <c r="I144" s="21" t="s">
        <v>179</v>
      </c>
      <c r="J144" s="25">
        <v>0.001</v>
      </c>
      <c r="K144" s="25"/>
      <c r="L144" s="25"/>
      <c r="M144" s="46"/>
    </row>
    <row r="145" ht="18.75" spans="2:13">
      <c r="B145" s="28">
        <f t="shared" si="3"/>
        <v>542</v>
      </c>
      <c r="C145" s="28">
        <v>2</v>
      </c>
      <c r="D145" s="28" t="s">
        <v>416</v>
      </c>
      <c r="E145" s="41" t="s">
        <v>417</v>
      </c>
      <c r="F145" s="28" t="s">
        <v>109</v>
      </c>
      <c r="G145" s="28" t="s">
        <v>418</v>
      </c>
      <c r="H145" s="24" t="s">
        <v>182</v>
      </c>
      <c r="I145" s="21" t="s">
        <v>179</v>
      </c>
      <c r="J145" s="25">
        <v>0.001</v>
      </c>
      <c r="K145" s="25"/>
      <c r="L145" s="25"/>
      <c r="M145" s="46"/>
    </row>
    <row r="146" ht="18.75" spans="2:13">
      <c r="B146" s="28">
        <f t="shared" si="3"/>
        <v>544</v>
      </c>
      <c r="C146" s="28">
        <v>2</v>
      </c>
      <c r="D146" s="28" t="s">
        <v>419</v>
      </c>
      <c r="E146" s="41" t="s">
        <v>420</v>
      </c>
      <c r="F146" s="28" t="s">
        <v>109</v>
      </c>
      <c r="G146" s="28" t="s">
        <v>418</v>
      </c>
      <c r="H146" s="24" t="s">
        <v>182</v>
      </c>
      <c r="I146" s="21" t="s">
        <v>179</v>
      </c>
      <c r="J146" s="25">
        <v>0.001</v>
      </c>
      <c r="K146" s="25"/>
      <c r="L146" s="25"/>
      <c r="M146" s="46"/>
    </row>
    <row r="147" ht="18.75" spans="2:13">
      <c r="B147" s="28">
        <f t="shared" si="3"/>
        <v>546</v>
      </c>
      <c r="C147" s="28">
        <v>2</v>
      </c>
      <c r="D147" s="28" t="s">
        <v>421</v>
      </c>
      <c r="E147" s="41" t="s">
        <v>422</v>
      </c>
      <c r="F147" s="28" t="s">
        <v>109</v>
      </c>
      <c r="G147" s="28" t="s">
        <v>418</v>
      </c>
      <c r="H147" s="24" t="s">
        <v>182</v>
      </c>
      <c r="I147" s="21" t="s">
        <v>179</v>
      </c>
      <c r="J147" s="25">
        <v>0.001</v>
      </c>
      <c r="K147" s="25"/>
      <c r="L147" s="25"/>
      <c r="M147" s="46"/>
    </row>
    <row r="148" ht="18.75" spans="2:13">
      <c r="B148" s="28">
        <f t="shared" si="3"/>
        <v>548</v>
      </c>
      <c r="C148" s="28">
        <v>2</v>
      </c>
      <c r="D148" s="28" t="s">
        <v>423</v>
      </c>
      <c r="E148" s="41" t="s">
        <v>424</v>
      </c>
      <c r="F148" s="28" t="s">
        <v>109</v>
      </c>
      <c r="G148" s="28" t="s">
        <v>418</v>
      </c>
      <c r="H148" s="24" t="s">
        <v>182</v>
      </c>
      <c r="I148" s="21" t="s">
        <v>179</v>
      </c>
      <c r="J148" s="25">
        <v>0.001</v>
      </c>
      <c r="K148" s="25"/>
      <c r="L148" s="25"/>
      <c r="M148" s="46"/>
    </row>
    <row r="149" ht="18.75" spans="2:13">
      <c r="B149" s="28">
        <f t="shared" si="3"/>
        <v>550</v>
      </c>
      <c r="C149" s="28">
        <v>2</v>
      </c>
      <c r="D149" s="28" t="s">
        <v>425</v>
      </c>
      <c r="E149" s="41" t="s">
        <v>420</v>
      </c>
      <c r="F149" s="28" t="s">
        <v>109</v>
      </c>
      <c r="G149" s="28" t="s">
        <v>418</v>
      </c>
      <c r="H149" s="24" t="s">
        <v>182</v>
      </c>
      <c r="I149" s="21" t="s">
        <v>179</v>
      </c>
      <c r="J149" s="25">
        <v>0.001</v>
      </c>
      <c r="K149" s="25"/>
      <c r="L149" s="25"/>
      <c r="M149" s="46"/>
    </row>
    <row r="150" ht="18.75" spans="2:13">
      <c r="B150" s="28">
        <f t="shared" si="3"/>
        <v>552</v>
      </c>
      <c r="C150" s="28">
        <v>2</v>
      </c>
      <c r="D150" s="28" t="s">
        <v>426</v>
      </c>
      <c r="E150" s="41" t="s">
        <v>427</v>
      </c>
      <c r="F150" s="28" t="s">
        <v>109</v>
      </c>
      <c r="G150" s="28" t="s">
        <v>418</v>
      </c>
      <c r="H150" s="24" t="s">
        <v>182</v>
      </c>
      <c r="I150" s="21" t="s">
        <v>179</v>
      </c>
      <c r="J150" s="25">
        <v>0.001</v>
      </c>
      <c r="K150" s="25"/>
      <c r="L150" s="25"/>
      <c r="M150" s="46"/>
    </row>
    <row r="151" ht="18.75" spans="2:13">
      <c r="B151" s="28">
        <f t="shared" si="3"/>
        <v>554</v>
      </c>
      <c r="C151" s="28">
        <v>2</v>
      </c>
      <c r="D151" s="28" t="s">
        <v>428</v>
      </c>
      <c r="E151" s="41" t="s">
        <v>429</v>
      </c>
      <c r="F151" s="28" t="s">
        <v>109</v>
      </c>
      <c r="G151" s="28" t="s">
        <v>418</v>
      </c>
      <c r="H151" s="24" t="s">
        <v>182</v>
      </c>
      <c r="I151" s="21" t="s">
        <v>179</v>
      </c>
      <c r="J151" s="25">
        <v>0.001</v>
      </c>
      <c r="K151" s="25"/>
      <c r="L151" s="25"/>
      <c r="M151" s="46"/>
    </row>
    <row r="152" ht="18.75" spans="2:13">
      <c r="B152" s="28">
        <f t="shared" si="3"/>
        <v>556</v>
      </c>
      <c r="C152" s="28">
        <v>2</v>
      </c>
      <c r="D152" s="28" t="s">
        <v>430</v>
      </c>
      <c r="E152" s="41" t="s">
        <v>431</v>
      </c>
      <c r="F152" s="28" t="s">
        <v>109</v>
      </c>
      <c r="G152" s="28" t="s">
        <v>418</v>
      </c>
      <c r="H152" s="24" t="s">
        <v>182</v>
      </c>
      <c r="I152" s="21" t="s">
        <v>179</v>
      </c>
      <c r="J152" s="25">
        <v>0.001</v>
      </c>
      <c r="K152" s="25"/>
      <c r="L152" s="25"/>
      <c r="M152" s="46"/>
    </row>
    <row r="153" ht="18.75" spans="2:13">
      <c r="B153" s="28">
        <f t="shared" si="3"/>
        <v>558</v>
      </c>
      <c r="C153" s="28">
        <v>2</v>
      </c>
      <c r="D153" s="28" t="s">
        <v>432</v>
      </c>
      <c r="E153" s="41" t="s">
        <v>433</v>
      </c>
      <c r="F153" s="28" t="s">
        <v>109</v>
      </c>
      <c r="G153" s="28" t="s">
        <v>418</v>
      </c>
      <c r="H153" s="24" t="s">
        <v>182</v>
      </c>
      <c r="I153" s="21" t="s">
        <v>179</v>
      </c>
      <c r="J153" s="25">
        <v>0.001</v>
      </c>
      <c r="K153" s="25"/>
      <c r="L153" s="25"/>
      <c r="M153" s="46"/>
    </row>
    <row r="154" ht="18.75" spans="2:13">
      <c r="B154" s="28">
        <f t="shared" si="3"/>
        <v>560</v>
      </c>
      <c r="C154" s="28">
        <v>1</v>
      </c>
      <c r="D154" s="28" t="s">
        <v>434</v>
      </c>
      <c r="E154" s="41" t="s">
        <v>435</v>
      </c>
      <c r="F154" s="28" t="s">
        <v>109</v>
      </c>
      <c r="G154" s="28"/>
      <c r="H154" s="28" t="s">
        <v>230</v>
      </c>
      <c r="I154" s="25" t="s">
        <v>172</v>
      </c>
      <c r="J154" s="25">
        <v>1</v>
      </c>
      <c r="K154" s="25"/>
      <c r="L154" s="25" t="s">
        <v>436</v>
      </c>
      <c r="M154" s="46"/>
    </row>
    <row r="155" ht="18.75" spans="2:13">
      <c r="B155" s="28">
        <f t="shared" si="3"/>
        <v>561</v>
      </c>
      <c r="C155" s="28">
        <v>1</v>
      </c>
      <c r="D155" s="28" t="s">
        <v>437</v>
      </c>
      <c r="E155" s="48">
        <v>3</v>
      </c>
      <c r="F155" s="28" t="s">
        <v>109</v>
      </c>
      <c r="G155" s="28"/>
      <c r="H155" s="28" t="s">
        <v>230</v>
      </c>
      <c r="I155" s="25" t="s">
        <v>172</v>
      </c>
      <c r="J155" s="25">
        <v>1</v>
      </c>
      <c r="K155" s="25"/>
      <c r="L155" s="25" t="s">
        <v>438</v>
      </c>
      <c r="M155" s="46"/>
    </row>
    <row r="156" ht="18.75" spans="2:13">
      <c r="B156" s="39" t="s">
        <v>439</v>
      </c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6"/>
    </row>
    <row r="157" ht="18.75" spans="2:13">
      <c r="B157" s="28">
        <v>1408</v>
      </c>
      <c r="C157" s="28">
        <v>1</v>
      </c>
      <c r="D157" s="28" t="s">
        <v>440</v>
      </c>
      <c r="E157" s="41" t="s">
        <v>441</v>
      </c>
      <c r="F157" s="28" t="s">
        <v>109</v>
      </c>
      <c r="G157" s="28"/>
      <c r="H157" s="24" t="s">
        <v>172</v>
      </c>
      <c r="I157" s="28" t="s">
        <v>230</v>
      </c>
      <c r="J157" s="28">
        <v>1</v>
      </c>
      <c r="K157" s="28"/>
      <c r="L157" s="28" t="s">
        <v>436</v>
      </c>
      <c r="M157" s="44" t="s">
        <v>442</v>
      </c>
    </row>
    <row r="158" ht="206.25" spans="2:13">
      <c r="B158" s="28">
        <f t="shared" ref="B158:B221" si="4">B157+C157</f>
        <v>1409</v>
      </c>
      <c r="C158" s="28">
        <v>1</v>
      </c>
      <c r="D158" s="28" t="s">
        <v>443</v>
      </c>
      <c r="E158" s="41" t="s">
        <v>444</v>
      </c>
      <c r="F158" s="28" t="s">
        <v>109</v>
      </c>
      <c r="G158" s="28"/>
      <c r="H158" s="24" t="s">
        <v>172</v>
      </c>
      <c r="I158" s="24" t="s">
        <v>172</v>
      </c>
      <c r="J158" s="28">
        <v>1</v>
      </c>
      <c r="K158" s="28"/>
      <c r="L158" s="41" t="s">
        <v>445</v>
      </c>
      <c r="M158" s="47"/>
    </row>
    <row r="159" ht="18.75" spans="2:13">
      <c r="B159" s="28">
        <f t="shared" si="4"/>
        <v>1410</v>
      </c>
      <c r="C159" s="28">
        <v>1</v>
      </c>
      <c r="D159" s="28" t="s">
        <v>446</v>
      </c>
      <c r="E159" s="41" t="s">
        <v>447</v>
      </c>
      <c r="F159" s="28" t="s">
        <v>444</v>
      </c>
      <c r="G159" s="28"/>
      <c r="H159" s="24" t="s">
        <v>230</v>
      </c>
      <c r="I159" s="24" t="s">
        <v>230</v>
      </c>
      <c r="J159" s="28">
        <v>1</v>
      </c>
      <c r="K159" s="28"/>
      <c r="L159" s="28"/>
      <c r="M159" s="46"/>
    </row>
    <row r="160" ht="18.75" spans="2:13">
      <c r="B160" s="28">
        <f t="shared" si="4"/>
        <v>1411</v>
      </c>
      <c r="C160" s="28">
        <v>2</v>
      </c>
      <c r="D160" s="28" t="s">
        <v>448</v>
      </c>
      <c r="E160" s="41" t="s">
        <v>449</v>
      </c>
      <c r="F160" s="28" t="s">
        <v>109</v>
      </c>
      <c r="G160" s="28"/>
      <c r="H160" s="24" t="s">
        <v>450</v>
      </c>
      <c r="I160" s="24" t="s">
        <v>450</v>
      </c>
      <c r="J160" s="28">
        <v>1</v>
      </c>
      <c r="K160" s="28"/>
      <c r="L160" s="41" t="s">
        <v>451</v>
      </c>
      <c r="M160" s="46"/>
    </row>
    <row r="161" ht="18.75" spans="2:13">
      <c r="B161" s="28">
        <f t="shared" si="4"/>
        <v>1413</v>
      </c>
      <c r="C161" s="28">
        <v>6</v>
      </c>
      <c r="D161" s="28" t="s">
        <v>452</v>
      </c>
      <c r="E161" s="41" t="s">
        <v>453</v>
      </c>
      <c r="F161" s="28" t="s">
        <v>109</v>
      </c>
      <c r="G161" s="28"/>
      <c r="H161" s="24" t="s">
        <v>454</v>
      </c>
      <c r="I161" s="24" t="s">
        <v>454</v>
      </c>
      <c r="J161" s="28">
        <v>1</v>
      </c>
      <c r="K161" s="28"/>
      <c r="L161" s="41"/>
      <c r="M161" s="46"/>
    </row>
    <row r="162" ht="18.75" spans="2:13">
      <c r="B162" s="28">
        <f t="shared" si="4"/>
        <v>1419</v>
      </c>
      <c r="C162" s="28">
        <v>1</v>
      </c>
      <c r="D162" s="28" t="s">
        <v>455</v>
      </c>
      <c r="E162" s="41" t="s">
        <v>456</v>
      </c>
      <c r="F162" s="28" t="s">
        <v>109</v>
      </c>
      <c r="G162" s="28"/>
      <c r="H162" s="24" t="s">
        <v>172</v>
      </c>
      <c r="I162" s="24" t="s">
        <v>172</v>
      </c>
      <c r="J162" s="28">
        <v>1</v>
      </c>
      <c r="K162" s="28"/>
      <c r="L162" s="28"/>
      <c r="M162" s="46"/>
    </row>
    <row r="163" ht="37.5" spans="2:13">
      <c r="B163" s="28">
        <f t="shared" si="4"/>
        <v>1420</v>
      </c>
      <c r="C163" s="28">
        <v>1</v>
      </c>
      <c r="D163" s="28" t="s">
        <v>457</v>
      </c>
      <c r="E163" s="41" t="s">
        <v>458</v>
      </c>
      <c r="F163" s="28" t="s">
        <v>109</v>
      </c>
      <c r="G163" s="28"/>
      <c r="H163" s="24" t="s">
        <v>172</v>
      </c>
      <c r="I163" s="24" t="s">
        <v>172</v>
      </c>
      <c r="J163" s="28">
        <v>1</v>
      </c>
      <c r="K163" s="28"/>
      <c r="L163" s="28"/>
      <c r="M163" s="46"/>
    </row>
    <row r="164" ht="18.75" spans="2:13">
      <c r="B164" s="28">
        <f t="shared" si="4"/>
        <v>1421</v>
      </c>
      <c r="C164" s="49">
        <v>4</v>
      </c>
      <c r="D164" s="28" t="s">
        <v>459</v>
      </c>
      <c r="E164" s="41" t="s">
        <v>460</v>
      </c>
      <c r="F164" s="28" t="s">
        <v>109</v>
      </c>
      <c r="G164" s="28"/>
      <c r="H164" s="24" t="s">
        <v>151</v>
      </c>
      <c r="I164" s="24" t="s">
        <v>151</v>
      </c>
      <c r="J164" s="28">
        <v>1</v>
      </c>
      <c r="K164" s="28"/>
      <c r="L164" s="28"/>
      <c r="M164" s="46"/>
    </row>
    <row r="165" ht="18.75" spans="2:13">
      <c r="B165" s="28">
        <f t="shared" si="4"/>
        <v>1425</v>
      </c>
      <c r="C165" s="28">
        <v>2</v>
      </c>
      <c r="D165" s="28" t="s">
        <v>461</v>
      </c>
      <c r="E165" s="41" t="s">
        <v>462</v>
      </c>
      <c r="F165" s="28" t="s">
        <v>109</v>
      </c>
      <c r="G165" s="28" t="s">
        <v>164</v>
      </c>
      <c r="H165" s="24" t="s">
        <v>182</v>
      </c>
      <c r="I165" s="24" t="s">
        <v>450</v>
      </c>
      <c r="J165" s="28">
        <v>0.1</v>
      </c>
      <c r="K165" s="28"/>
      <c r="L165" s="28"/>
      <c r="M165" s="46"/>
    </row>
    <row r="166" ht="93.75" spans="2:13">
      <c r="B166" s="28">
        <f t="shared" si="4"/>
        <v>1427</v>
      </c>
      <c r="C166" s="28">
        <v>1</v>
      </c>
      <c r="D166" s="28" t="s">
        <v>463</v>
      </c>
      <c r="E166" s="41" t="s">
        <v>464</v>
      </c>
      <c r="F166" s="28" t="s">
        <v>109</v>
      </c>
      <c r="G166" s="28"/>
      <c r="H166" s="24" t="s">
        <v>230</v>
      </c>
      <c r="I166" s="24" t="s">
        <v>230</v>
      </c>
      <c r="J166" s="28">
        <v>1</v>
      </c>
      <c r="K166" s="28"/>
      <c r="L166" s="41" t="s">
        <v>465</v>
      </c>
      <c r="M166" s="46"/>
    </row>
    <row r="167" ht="18.75" spans="2:13">
      <c r="B167" s="28">
        <f t="shared" si="4"/>
        <v>1428</v>
      </c>
      <c r="C167" s="28">
        <v>1</v>
      </c>
      <c r="D167" s="28" t="s">
        <v>466</v>
      </c>
      <c r="E167" s="41" t="s">
        <v>467</v>
      </c>
      <c r="F167" s="28" t="s">
        <v>109</v>
      </c>
      <c r="G167" s="28" t="s">
        <v>256</v>
      </c>
      <c r="H167" s="24" t="s">
        <v>182</v>
      </c>
      <c r="I167" s="24" t="s">
        <v>468</v>
      </c>
      <c r="J167" s="28">
        <v>0.1</v>
      </c>
      <c r="K167" s="28"/>
      <c r="L167" s="28"/>
      <c r="M167" s="46"/>
    </row>
    <row r="168" ht="18.75" spans="2:13">
      <c r="B168" s="28">
        <f t="shared" si="4"/>
        <v>1429</v>
      </c>
      <c r="C168" s="28">
        <v>1</v>
      </c>
      <c r="D168" s="28" t="s">
        <v>469</v>
      </c>
      <c r="E168" s="41" t="s">
        <v>470</v>
      </c>
      <c r="F168" s="28" t="s">
        <v>109</v>
      </c>
      <c r="G168" s="28" t="s">
        <v>256</v>
      </c>
      <c r="H168" s="24" t="s">
        <v>182</v>
      </c>
      <c r="I168" s="24" t="s">
        <v>468</v>
      </c>
      <c r="J168" s="28">
        <v>0.1</v>
      </c>
      <c r="K168" s="28"/>
      <c r="L168" s="28"/>
      <c r="M168" s="46"/>
    </row>
    <row r="169" ht="18.75" spans="2:13">
      <c r="B169" s="28">
        <f t="shared" si="4"/>
        <v>1430</v>
      </c>
      <c r="C169" s="28">
        <v>1</v>
      </c>
      <c r="D169" s="28" t="s">
        <v>471</v>
      </c>
      <c r="E169" s="41" t="s">
        <v>472</v>
      </c>
      <c r="F169" s="28" t="s">
        <v>109</v>
      </c>
      <c r="G169" s="28" t="s">
        <v>256</v>
      </c>
      <c r="H169" s="24" t="s">
        <v>182</v>
      </c>
      <c r="I169" s="24" t="s">
        <v>468</v>
      </c>
      <c r="J169" s="28">
        <v>0.1</v>
      </c>
      <c r="K169" s="28"/>
      <c r="L169" s="28"/>
      <c r="M169" s="46"/>
    </row>
    <row r="170" ht="18.75" spans="2:13">
      <c r="B170" s="28">
        <f t="shared" si="4"/>
        <v>1431</v>
      </c>
      <c r="C170" s="28">
        <v>1</v>
      </c>
      <c r="D170" s="28" t="s">
        <v>473</v>
      </c>
      <c r="E170" s="41" t="s">
        <v>474</v>
      </c>
      <c r="F170" s="28" t="s">
        <v>109</v>
      </c>
      <c r="G170" s="28" t="s">
        <v>256</v>
      </c>
      <c r="H170" s="24" t="s">
        <v>182</v>
      </c>
      <c r="I170" s="24" t="s">
        <v>468</v>
      </c>
      <c r="J170" s="28">
        <v>0.1</v>
      </c>
      <c r="K170" s="28"/>
      <c r="L170" s="28"/>
      <c r="M170" s="46"/>
    </row>
    <row r="171" ht="18.75" spans="2:13">
      <c r="B171" s="28">
        <f t="shared" si="4"/>
        <v>1432</v>
      </c>
      <c r="C171" s="28">
        <v>1</v>
      </c>
      <c r="D171" s="28" t="s">
        <v>475</v>
      </c>
      <c r="E171" s="41" t="s">
        <v>476</v>
      </c>
      <c r="F171" s="28" t="s">
        <v>109</v>
      </c>
      <c r="G171" s="28" t="s">
        <v>256</v>
      </c>
      <c r="H171" s="24" t="s">
        <v>182</v>
      </c>
      <c r="I171" s="24" t="s">
        <v>468</v>
      </c>
      <c r="J171" s="28">
        <v>0.1</v>
      </c>
      <c r="K171" s="28"/>
      <c r="L171" s="28"/>
      <c r="M171" s="46"/>
    </row>
    <row r="172" ht="18.75" spans="2:13">
      <c r="B172" s="28">
        <f t="shared" si="4"/>
        <v>1433</v>
      </c>
      <c r="C172" s="28">
        <v>1</v>
      </c>
      <c r="D172" s="28" t="s">
        <v>477</v>
      </c>
      <c r="E172" s="41" t="s">
        <v>478</v>
      </c>
      <c r="F172" s="28" t="s">
        <v>109</v>
      </c>
      <c r="G172" s="28" t="s">
        <v>256</v>
      </c>
      <c r="H172" s="24" t="s">
        <v>182</v>
      </c>
      <c r="I172" s="24" t="s">
        <v>468</v>
      </c>
      <c r="J172" s="28">
        <v>0.1</v>
      </c>
      <c r="K172" s="28"/>
      <c r="L172" s="28"/>
      <c r="M172" s="46"/>
    </row>
    <row r="173" ht="18.75" spans="2:13">
      <c r="B173" s="28">
        <f t="shared" si="4"/>
        <v>1434</v>
      </c>
      <c r="C173" s="28">
        <v>1</v>
      </c>
      <c r="D173" s="28" t="s">
        <v>479</v>
      </c>
      <c r="E173" s="41" t="s">
        <v>480</v>
      </c>
      <c r="F173" s="28" t="s">
        <v>109</v>
      </c>
      <c r="G173" s="28" t="s">
        <v>263</v>
      </c>
      <c r="H173" s="24" t="s">
        <v>182</v>
      </c>
      <c r="I173" s="24" t="s">
        <v>468</v>
      </c>
      <c r="J173" s="28">
        <v>0.1</v>
      </c>
      <c r="K173" s="28"/>
      <c r="L173" s="28"/>
      <c r="M173" s="46"/>
    </row>
    <row r="174" ht="18.75" spans="2:13">
      <c r="B174" s="28">
        <f t="shared" si="4"/>
        <v>1435</v>
      </c>
      <c r="C174" s="28">
        <v>1</v>
      </c>
      <c r="D174" s="28" t="s">
        <v>481</v>
      </c>
      <c r="E174" s="41" t="s">
        <v>470</v>
      </c>
      <c r="F174" s="28" t="s">
        <v>109</v>
      </c>
      <c r="G174" s="28" t="s">
        <v>263</v>
      </c>
      <c r="H174" s="24" t="s">
        <v>182</v>
      </c>
      <c r="I174" s="24" t="s">
        <v>468</v>
      </c>
      <c r="J174" s="28">
        <v>0.1</v>
      </c>
      <c r="K174" s="28"/>
      <c r="L174" s="28"/>
      <c r="M174" s="46"/>
    </row>
    <row r="175" ht="18.75" spans="2:13">
      <c r="B175" s="28">
        <f t="shared" si="4"/>
        <v>1436</v>
      </c>
      <c r="C175" s="28">
        <v>1</v>
      </c>
      <c r="D175" s="28" t="s">
        <v>482</v>
      </c>
      <c r="E175" s="41" t="s">
        <v>483</v>
      </c>
      <c r="F175" s="28" t="s">
        <v>109</v>
      </c>
      <c r="G175" s="28" t="s">
        <v>263</v>
      </c>
      <c r="H175" s="24" t="s">
        <v>182</v>
      </c>
      <c r="I175" s="24" t="s">
        <v>468</v>
      </c>
      <c r="J175" s="28">
        <v>0.1</v>
      </c>
      <c r="K175" s="28"/>
      <c r="L175" s="28"/>
      <c r="M175" s="46"/>
    </row>
    <row r="176" ht="18.75" spans="2:13">
      <c r="B176" s="28">
        <f t="shared" si="4"/>
        <v>1437</v>
      </c>
      <c r="C176" s="28">
        <v>1</v>
      </c>
      <c r="D176" s="28" t="s">
        <v>484</v>
      </c>
      <c r="E176" s="41" t="s">
        <v>485</v>
      </c>
      <c r="F176" s="28" t="s">
        <v>109</v>
      </c>
      <c r="G176" s="28" t="s">
        <v>319</v>
      </c>
      <c r="H176" s="24" t="s">
        <v>182</v>
      </c>
      <c r="I176" s="24" t="s">
        <v>468</v>
      </c>
      <c r="J176" s="28">
        <v>0.1</v>
      </c>
      <c r="K176" s="28"/>
      <c r="L176" s="28"/>
      <c r="M176" s="46"/>
    </row>
    <row r="177" ht="18.75" spans="2:13">
      <c r="B177" s="28">
        <f t="shared" si="4"/>
        <v>1438</v>
      </c>
      <c r="C177" s="28">
        <v>1</v>
      </c>
      <c r="D177" s="28" t="s">
        <v>486</v>
      </c>
      <c r="E177" s="41" t="s">
        <v>487</v>
      </c>
      <c r="F177" s="28" t="s">
        <v>109</v>
      </c>
      <c r="G177" s="28" t="s">
        <v>256</v>
      </c>
      <c r="H177" s="24" t="s">
        <v>182</v>
      </c>
      <c r="I177" s="24" t="s">
        <v>468</v>
      </c>
      <c r="J177" s="28">
        <v>0.1</v>
      </c>
      <c r="K177" s="28"/>
      <c r="L177" s="28"/>
      <c r="M177" s="46"/>
    </row>
    <row r="178" ht="18.75" spans="2:13">
      <c r="B178" s="28">
        <f t="shared" si="4"/>
        <v>1439</v>
      </c>
      <c r="C178" s="28">
        <v>1</v>
      </c>
      <c r="D178" s="28" t="s">
        <v>488</v>
      </c>
      <c r="E178" s="41" t="s">
        <v>489</v>
      </c>
      <c r="F178" s="28" t="s">
        <v>109</v>
      </c>
      <c r="G178" s="28" t="s">
        <v>256</v>
      </c>
      <c r="H178" s="24" t="s">
        <v>182</v>
      </c>
      <c r="I178" s="24" t="s">
        <v>468</v>
      </c>
      <c r="J178" s="28">
        <v>0.1</v>
      </c>
      <c r="K178" s="28"/>
      <c r="L178" s="28"/>
      <c r="M178" s="46"/>
    </row>
    <row r="179" ht="18.75" spans="2:13">
      <c r="B179" s="28">
        <f t="shared" si="4"/>
        <v>1440</v>
      </c>
      <c r="C179" s="28">
        <v>1</v>
      </c>
      <c r="D179" s="28" t="s">
        <v>490</v>
      </c>
      <c r="E179" s="41" t="s">
        <v>491</v>
      </c>
      <c r="F179" s="28" t="s">
        <v>109</v>
      </c>
      <c r="G179" s="28" t="s">
        <v>256</v>
      </c>
      <c r="H179" s="24" t="s">
        <v>182</v>
      </c>
      <c r="I179" s="24" t="s">
        <v>468</v>
      </c>
      <c r="J179" s="28">
        <v>0.1</v>
      </c>
      <c r="K179" s="28"/>
      <c r="L179" s="28"/>
      <c r="M179" s="46"/>
    </row>
    <row r="180" ht="18.75" spans="2:13">
      <c r="B180" s="28">
        <f t="shared" si="4"/>
        <v>1441</v>
      </c>
      <c r="C180" s="28">
        <v>1</v>
      </c>
      <c r="D180" s="28" t="s">
        <v>492</v>
      </c>
      <c r="E180" s="41" t="s">
        <v>493</v>
      </c>
      <c r="F180" s="28" t="s">
        <v>109</v>
      </c>
      <c r="G180" s="28" t="s">
        <v>256</v>
      </c>
      <c r="H180" s="24" t="s">
        <v>182</v>
      </c>
      <c r="I180" s="24" t="s">
        <v>468</v>
      </c>
      <c r="J180" s="28">
        <v>0.1</v>
      </c>
      <c r="K180" s="28"/>
      <c r="L180" s="28"/>
      <c r="M180" s="46"/>
    </row>
    <row r="181" ht="18.75" spans="2:13">
      <c r="B181" s="28">
        <f t="shared" si="4"/>
        <v>1442</v>
      </c>
      <c r="C181" s="28">
        <v>1</v>
      </c>
      <c r="D181" s="28" t="s">
        <v>494</v>
      </c>
      <c r="E181" s="41" t="s">
        <v>495</v>
      </c>
      <c r="F181" s="28" t="s">
        <v>109</v>
      </c>
      <c r="G181" s="28" t="s">
        <v>256</v>
      </c>
      <c r="H181" s="24" t="s">
        <v>182</v>
      </c>
      <c r="I181" s="24" t="s">
        <v>468</v>
      </c>
      <c r="J181" s="28">
        <v>0.1</v>
      </c>
      <c r="K181" s="28"/>
      <c r="L181" s="28"/>
      <c r="M181" s="46"/>
    </row>
    <row r="182" ht="18.75" spans="2:13">
      <c r="B182" s="28">
        <f t="shared" si="4"/>
        <v>1443</v>
      </c>
      <c r="C182" s="28">
        <v>1</v>
      </c>
      <c r="D182" s="28" t="s">
        <v>496</v>
      </c>
      <c r="E182" s="41" t="s">
        <v>497</v>
      </c>
      <c r="F182" s="28" t="s">
        <v>109</v>
      </c>
      <c r="G182" s="28" t="s">
        <v>256</v>
      </c>
      <c r="H182" s="24" t="s">
        <v>182</v>
      </c>
      <c r="I182" s="24" t="s">
        <v>468</v>
      </c>
      <c r="J182" s="28">
        <v>0.1</v>
      </c>
      <c r="K182" s="28"/>
      <c r="L182" s="28"/>
      <c r="M182" s="46"/>
    </row>
    <row r="183" ht="18.75" spans="2:13">
      <c r="B183" s="28">
        <f t="shared" si="4"/>
        <v>1444</v>
      </c>
      <c r="C183" s="28">
        <v>1</v>
      </c>
      <c r="D183" s="28" t="s">
        <v>498</v>
      </c>
      <c r="E183" s="41" t="s">
        <v>499</v>
      </c>
      <c r="F183" s="28" t="s">
        <v>109</v>
      </c>
      <c r="G183" s="28" t="s">
        <v>263</v>
      </c>
      <c r="H183" s="24" t="s">
        <v>182</v>
      </c>
      <c r="I183" s="24" t="s">
        <v>468</v>
      </c>
      <c r="J183" s="28">
        <v>0.1</v>
      </c>
      <c r="K183" s="28"/>
      <c r="L183" s="28"/>
      <c r="M183" s="46"/>
    </row>
    <row r="184" ht="18.75" spans="2:13">
      <c r="B184" s="28">
        <f t="shared" si="4"/>
        <v>1445</v>
      </c>
      <c r="C184" s="28">
        <v>1</v>
      </c>
      <c r="D184" s="28" t="s">
        <v>500</v>
      </c>
      <c r="E184" s="41" t="s">
        <v>501</v>
      </c>
      <c r="F184" s="28" t="s">
        <v>109</v>
      </c>
      <c r="G184" s="28" t="s">
        <v>263</v>
      </c>
      <c r="H184" s="24" t="s">
        <v>182</v>
      </c>
      <c r="I184" s="24" t="s">
        <v>468</v>
      </c>
      <c r="J184" s="28">
        <v>0.1</v>
      </c>
      <c r="K184" s="28"/>
      <c r="L184" s="28"/>
      <c r="M184" s="46"/>
    </row>
    <row r="185" ht="18.75" spans="2:13">
      <c r="B185" s="28">
        <f t="shared" si="4"/>
        <v>1446</v>
      </c>
      <c r="C185" s="28">
        <v>1</v>
      </c>
      <c r="D185" s="28" t="s">
        <v>502</v>
      </c>
      <c r="E185" s="41" t="s">
        <v>503</v>
      </c>
      <c r="F185" s="28" t="s">
        <v>109</v>
      </c>
      <c r="G185" s="28" t="s">
        <v>263</v>
      </c>
      <c r="H185" s="24" t="s">
        <v>182</v>
      </c>
      <c r="I185" s="24" t="s">
        <v>468</v>
      </c>
      <c r="J185" s="28">
        <v>0.1</v>
      </c>
      <c r="K185" s="28"/>
      <c r="L185" s="28"/>
      <c r="M185" s="46"/>
    </row>
    <row r="186" ht="18.75" spans="2:13">
      <c r="B186" s="28">
        <f t="shared" si="4"/>
        <v>1447</v>
      </c>
      <c r="C186" s="28">
        <v>1</v>
      </c>
      <c r="D186" s="28" t="s">
        <v>504</v>
      </c>
      <c r="E186" s="41" t="s">
        <v>505</v>
      </c>
      <c r="F186" s="28" t="s">
        <v>109</v>
      </c>
      <c r="G186" s="28" t="s">
        <v>319</v>
      </c>
      <c r="H186" s="24" t="s">
        <v>182</v>
      </c>
      <c r="I186" s="24" t="s">
        <v>468</v>
      </c>
      <c r="J186" s="28">
        <v>0.1</v>
      </c>
      <c r="K186" s="28"/>
      <c r="L186" s="28"/>
      <c r="M186" s="46"/>
    </row>
    <row r="187" ht="18.75" spans="2:13">
      <c r="B187" s="28">
        <f t="shared" si="4"/>
        <v>1448</v>
      </c>
      <c r="C187" s="28">
        <v>1</v>
      </c>
      <c r="D187" s="28" t="s">
        <v>506</v>
      </c>
      <c r="E187" s="41" t="s">
        <v>507</v>
      </c>
      <c r="F187" s="28" t="s">
        <v>109</v>
      </c>
      <c r="G187" s="28" t="s">
        <v>256</v>
      </c>
      <c r="H187" s="24" t="s">
        <v>182</v>
      </c>
      <c r="I187" s="24" t="s">
        <v>468</v>
      </c>
      <c r="J187" s="28">
        <v>0.1</v>
      </c>
      <c r="K187" s="28"/>
      <c r="L187" s="28"/>
      <c r="M187" s="46"/>
    </row>
    <row r="188" ht="18.75" spans="2:13">
      <c r="B188" s="28">
        <f t="shared" si="4"/>
        <v>1449</v>
      </c>
      <c r="C188" s="28">
        <v>1</v>
      </c>
      <c r="D188" s="28" t="s">
        <v>508</v>
      </c>
      <c r="E188" s="41" t="s">
        <v>509</v>
      </c>
      <c r="F188" s="28" t="s">
        <v>109</v>
      </c>
      <c r="G188" s="28" t="s">
        <v>256</v>
      </c>
      <c r="H188" s="24" t="s">
        <v>182</v>
      </c>
      <c r="I188" s="24" t="s">
        <v>468</v>
      </c>
      <c r="J188" s="28">
        <v>0.1</v>
      </c>
      <c r="K188" s="28"/>
      <c r="L188" s="28"/>
      <c r="M188" s="46"/>
    </row>
    <row r="189" ht="18.75" spans="2:13">
      <c r="B189" s="28">
        <f t="shared" si="4"/>
        <v>1450</v>
      </c>
      <c r="C189" s="28">
        <v>1</v>
      </c>
      <c r="D189" s="28" t="s">
        <v>510</v>
      </c>
      <c r="E189" s="41" t="s">
        <v>511</v>
      </c>
      <c r="F189" s="28" t="s">
        <v>109</v>
      </c>
      <c r="G189" s="28" t="s">
        <v>256</v>
      </c>
      <c r="H189" s="24" t="s">
        <v>182</v>
      </c>
      <c r="I189" s="24" t="s">
        <v>468</v>
      </c>
      <c r="J189" s="28">
        <v>0.1</v>
      </c>
      <c r="K189" s="28"/>
      <c r="L189" s="28"/>
      <c r="M189" s="46"/>
    </row>
    <row r="190" ht="18.75" spans="2:13">
      <c r="B190" s="28">
        <f t="shared" si="4"/>
        <v>1451</v>
      </c>
      <c r="C190" s="28">
        <v>1</v>
      </c>
      <c r="D190" s="28" t="s">
        <v>512</v>
      </c>
      <c r="E190" s="41" t="s">
        <v>513</v>
      </c>
      <c r="F190" s="28" t="s">
        <v>109</v>
      </c>
      <c r="G190" s="28" t="s">
        <v>256</v>
      </c>
      <c r="H190" s="24" t="s">
        <v>182</v>
      </c>
      <c r="I190" s="24" t="s">
        <v>468</v>
      </c>
      <c r="J190" s="28">
        <v>0.1</v>
      </c>
      <c r="K190" s="28"/>
      <c r="L190" s="28"/>
      <c r="M190" s="46"/>
    </row>
    <row r="191" ht="18.75" spans="2:13">
      <c r="B191" s="28">
        <f t="shared" si="4"/>
        <v>1452</v>
      </c>
      <c r="C191" s="28">
        <v>1</v>
      </c>
      <c r="D191" s="28" t="s">
        <v>514</v>
      </c>
      <c r="E191" s="41" t="s">
        <v>515</v>
      </c>
      <c r="F191" s="28" t="s">
        <v>109</v>
      </c>
      <c r="G191" s="28" t="s">
        <v>256</v>
      </c>
      <c r="H191" s="24" t="s">
        <v>182</v>
      </c>
      <c r="I191" s="24" t="s">
        <v>468</v>
      </c>
      <c r="J191" s="28">
        <v>0.1</v>
      </c>
      <c r="K191" s="28"/>
      <c r="L191" s="28"/>
      <c r="M191" s="46"/>
    </row>
    <row r="192" ht="18.75" spans="2:13">
      <c r="B192" s="28">
        <f t="shared" si="4"/>
        <v>1453</v>
      </c>
      <c r="C192" s="28">
        <v>1</v>
      </c>
      <c r="D192" s="28" t="s">
        <v>516</v>
      </c>
      <c r="E192" s="41" t="s">
        <v>517</v>
      </c>
      <c r="F192" s="28" t="s">
        <v>109</v>
      </c>
      <c r="G192" s="28" t="s">
        <v>256</v>
      </c>
      <c r="H192" s="24" t="s">
        <v>182</v>
      </c>
      <c r="I192" s="24" t="s">
        <v>468</v>
      </c>
      <c r="J192" s="28">
        <v>0.1</v>
      </c>
      <c r="K192" s="28"/>
      <c r="L192" s="28"/>
      <c r="M192" s="46"/>
    </row>
    <row r="193" ht="18.75" spans="2:13">
      <c r="B193" s="28">
        <f t="shared" si="4"/>
        <v>1454</v>
      </c>
      <c r="C193" s="28">
        <v>1</v>
      </c>
      <c r="D193" s="28" t="s">
        <v>518</v>
      </c>
      <c r="E193" s="41" t="s">
        <v>519</v>
      </c>
      <c r="F193" s="28" t="s">
        <v>109</v>
      </c>
      <c r="G193" s="28" t="s">
        <v>319</v>
      </c>
      <c r="H193" s="24" t="s">
        <v>182</v>
      </c>
      <c r="I193" s="24" t="s">
        <v>172</v>
      </c>
      <c r="J193" s="28">
        <v>0.1</v>
      </c>
      <c r="K193" s="28"/>
      <c r="L193" s="28"/>
      <c r="M193" s="46"/>
    </row>
    <row r="194" ht="37.5" spans="2:13">
      <c r="B194" s="28">
        <f t="shared" si="4"/>
        <v>1455</v>
      </c>
      <c r="C194" s="28">
        <v>1</v>
      </c>
      <c r="D194" s="28" t="s">
        <v>520</v>
      </c>
      <c r="E194" s="41" t="s">
        <v>521</v>
      </c>
      <c r="F194" s="28" t="s">
        <v>109</v>
      </c>
      <c r="G194" s="28" t="s">
        <v>164</v>
      </c>
      <c r="H194" s="24" t="s">
        <v>172</v>
      </c>
      <c r="I194" s="24" t="s">
        <v>172</v>
      </c>
      <c r="J194" s="28">
        <v>1</v>
      </c>
      <c r="K194" s="28"/>
      <c r="L194" s="28"/>
      <c r="M194" s="46"/>
    </row>
    <row r="195" ht="37.5" spans="2:13">
      <c r="B195" s="28">
        <f t="shared" si="4"/>
        <v>1456</v>
      </c>
      <c r="C195" s="28">
        <v>1</v>
      </c>
      <c r="D195" s="28" t="s">
        <v>522</v>
      </c>
      <c r="E195" s="41" t="s">
        <v>523</v>
      </c>
      <c r="F195" s="28" t="s">
        <v>109</v>
      </c>
      <c r="G195" s="28" t="s">
        <v>164</v>
      </c>
      <c r="H195" s="24" t="s">
        <v>172</v>
      </c>
      <c r="I195" s="24" t="s">
        <v>172</v>
      </c>
      <c r="J195" s="28">
        <v>1</v>
      </c>
      <c r="K195" s="28"/>
      <c r="L195" s="28"/>
      <c r="M195" s="46"/>
    </row>
    <row r="196" ht="18.75" spans="2:13">
      <c r="B196" s="28">
        <f t="shared" si="4"/>
        <v>1457</v>
      </c>
      <c r="C196" s="28">
        <v>1</v>
      </c>
      <c r="D196" s="28" t="s">
        <v>524</v>
      </c>
      <c r="E196" s="41" t="s">
        <v>525</v>
      </c>
      <c r="F196" s="28" t="s">
        <v>109</v>
      </c>
      <c r="G196" s="28" t="s">
        <v>164</v>
      </c>
      <c r="H196" s="24" t="s">
        <v>182</v>
      </c>
      <c r="I196" s="24" t="s">
        <v>468</v>
      </c>
      <c r="J196" s="28">
        <v>0.1</v>
      </c>
      <c r="K196" s="28"/>
      <c r="L196" s="28"/>
      <c r="M196" s="46"/>
    </row>
    <row r="197" ht="37.5" spans="2:13">
      <c r="B197" s="28">
        <f t="shared" si="4"/>
        <v>1458</v>
      </c>
      <c r="C197" s="28">
        <v>1</v>
      </c>
      <c r="D197" s="28" t="s">
        <v>526</v>
      </c>
      <c r="E197" s="41" t="s">
        <v>527</v>
      </c>
      <c r="F197" s="28" t="s">
        <v>109</v>
      </c>
      <c r="G197" s="28" t="s">
        <v>164</v>
      </c>
      <c r="H197" s="24" t="s">
        <v>172</v>
      </c>
      <c r="I197" s="24" t="s">
        <v>172</v>
      </c>
      <c r="J197" s="28">
        <v>1</v>
      </c>
      <c r="K197" s="28"/>
      <c r="L197" s="28"/>
      <c r="M197" s="46"/>
    </row>
    <row r="198" ht="37.5" spans="2:13">
      <c r="B198" s="28">
        <f t="shared" si="4"/>
        <v>1459</v>
      </c>
      <c r="C198" s="28">
        <v>1</v>
      </c>
      <c r="D198" s="28" t="s">
        <v>528</v>
      </c>
      <c r="E198" s="41" t="s">
        <v>529</v>
      </c>
      <c r="F198" s="28" t="s">
        <v>109</v>
      </c>
      <c r="G198" s="28" t="s">
        <v>164</v>
      </c>
      <c r="H198" s="24" t="s">
        <v>172</v>
      </c>
      <c r="I198" s="24" t="s">
        <v>172</v>
      </c>
      <c r="J198" s="28">
        <v>1</v>
      </c>
      <c r="K198" s="28"/>
      <c r="L198" s="28"/>
      <c r="M198" s="46"/>
    </row>
    <row r="199" ht="18.75" spans="2:13">
      <c r="B199" s="28">
        <f t="shared" si="4"/>
        <v>1460</v>
      </c>
      <c r="C199" s="28">
        <v>1</v>
      </c>
      <c r="D199" s="28" t="s">
        <v>530</v>
      </c>
      <c r="E199" s="41" t="s">
        <v>531</v>
      </c>
      <c r="F199" s="28" t="s">
        <v>109</v>
      </c>
      <c r="G199" s="28" t="s">
        <v>164</v>
      </c>
      <c r="H199" s="24" t="s">
        <v>182</v>
      </c>
      <c r="I199" s="24" t="s">
        <v>468</v>
      </c>
      <c r="J199" s="28">
        <v>0.1</v>
      </c>
      <c r="K199" s="28"/>
      <c r="L199" s="28"/>
      <c r="M199" s="46"/>
    </row>
    <row r="200" ht="37.5" spans="2:13">
      <c r="B200" s="28">
        <f t="shared" si="4"/>
        <v>1461</v>
      </c>
      <c r="C200" s="28">
        <v>1</v>
      </c>
      <c r="D200" s="28" t="s">
        <v>532</v>
      </c>
      <c r="E200" s="41" t="s">
        <v>533</v>
      </c>
      <c r="F200" s="28" t="s">
        <v>109</v>
      </c>
      <c r="G200" s="28" t="s">
        <v>164</v>
      </c>
      <c r="H200" s="24" t="s">
        <v>172</v>
      </c>
      <c r="I200" s="24" t="s">
        <v>172</v>
      </c>
      <c r="J200" s="28">
        <v>1</v>
      </c>
      <c r="K200" s="28"/>
      <c r="L200" s="28"/>
      <c r="M200" s="46"/>
    </row>
    <row r="201" ht="37.5" spans="2:13">
      <c r="B201" s="28">
        <f t="shared" si="4"/>
        <v>1462</v>
      </c>
      <c r="C201" s="28">
        <v>1</v>
      </c>
      <c r="D201" s="28" t="s">
        <v>534</v>
      </c>
      <c r="E201" s="41" t="s">
        <v>535</v>
      </c>
      <c r="F201" s="28" t="s">
        <v>109</v>
      </c>
      <c r="G201" s="28" t="s">
        <v>164</v>
      </c>
      <c r="H201" s="24" t="s">
        <v>172</v>
      </c>
      <c r="I201" s="24" t="s">
        <v>172</v>
      </c>
      <c r="J201" s="28">
        <v>1</v>
      </c>
      <c r="K201" s="28"/>
      <c r="L201" s="28"/>
      <c r="M201" s="46"/>
    </row>
    <row r="202" ht="18.75" spans="2:13">
      <c r="B202" s="28">
        <f t="shared" si="4"/>
        <v>1463</v>
      </c>
      <c r="C202" s="28">
        <v>1</v>
      </c>
      <c r="D202" s="28" t="s">
        <v>536</v>
      </c>
      <c r="E202" s="41" t="s">
        <v>537</v>
      </c>
      <c r="F202" s="28" t="s">
        <v>109</v>
      </c>
      <c r="G202" s="28" t="s">
        <v>164</v>
      </c>
      <c r="H202" s="24" t="s">
        <v>182</v>
      </c>
      <c r="I202" s="24" t="s">
        <v>468</v>
      </c>
      <c r="J202" s="28">
        <v>0.1</v>
      </c>
      <c r="K202" s="28"/>
      <c r="L202" s="28"/>
      <c r="M202" s="46"/>
    </row>
    <row r="203" ht="37.5" spans="2:13">
      <c r="B203" s="28">
        <f t="shared" si="4"/>
        <v>1464</v>
      </c>
      <c r="C203" s="28">
        <v>1</v>
      </c>
      <c r="D203" s="28" t="s">
        <v>538</v>
      </c>
      <c r="E203" s="41" t="s">
        <v>539</v>
      </c>
      <c r="F203" s="28" t="s">
        <v>109</v>
      </c>
      <c r="G203" s="28" t="s">
        <v>164</v>
      </c>
      <c r="H203" s="24" t="s">
        <v>172</v>
      </c>
      <c r="I203" s="24" t="s">
        <v>172</v>
      </c>
      <c r="J203" s="28">
        <v>1</v>
      </c>
      <c r="K203" s="28"/>
      <c r="L203" s="28"/>
      <c r="M203" s="46"/>
    </row>
    <row r="204" ht="37.5" spans="2:13">
      <c r="B204" s="28">
        <f t="shared" si="4"/>
        <v>1465</v>
      </c>
      <c r="C204" s="28">
        <v>1</v>
      </c>
      <c r="D204" s="28" t="s">
        <v>540</v>
      </c>
      <c r="E204" s="41" t="s">
        <v>541</v>
      </c>
      <c r="F204" s="28" t="s">
        <v>109</v>
      </c>
      <c r="G204" s="28" t="s">
        <v>164</v>
      </c>
      <c r="H204" s="24" t="s">
        <v>172</v>
      </c>
      <c r="I204" s="24" t="s">
        <v>172</v>
      </c>
      <c r="J204" s="28">
        <v>1</v>
      </c>
      <c r="K204" s="28"/>
      <c r="L204" s="28"/>
      <c r="M204" s="46"/>
    </row>
    <row r="205" ht="18.75" spans="2:13">
      <c r="B205" s="28">
        <f t="shared" si="4"/>
        <v>1466</v>
      </c>
      <c r="C205" s="28">
        <v>1</v>
      </c>
      <c r="D205" s="28" t="s">
        <v>542</v>
      </c>
      <c r="E205" s="41" t="s">
        <v>543</v>
      </c>
      <c r="F205" s="28" t="s">
        <v>109</v>
      </c>
      <c r="G205" s="28" t="s">
        <v>164</v>
      </c>
      <c r="H205" s="24" t="s">
        <v>182</v>
      </c>
      <c r="I205" s="24" t="s">
        <v>468</v>
      </c>
      <c r="J205" s="28">
        <v>0.1</v>
      </c>
      <c r="K205" s="28"/>
      <c r="L205" s="28"/>
      <c r="M205" s="46"/>
    </row>
    <row r="206" ht="37.5" spans="2:13">
      <c r="B206" s="28">
        <f t="shared" si="4"/>
        <v>1467</v>
      </c>
      <c r="C206" s="28">
        <v>1</v>
      </c>
      <c r="D206" s="28" t="s">
        <v>544</v>
      </c>
      <c r="E206" s="41" t="s">
        <v>545</v>
      </c>
      <c r="F206" s="28" t="s">
        <v>109</v>
      </c>
      <c r="G206" s="28" t="s">
        <v>164</v>
      </c>
      <c r="H206" s="24" t="s">
        <v>172</v>
      </c>
      <c r="I206" s="24" t="s">
        <v>172</v>
      </c>
      <c r="J206" s="28">
        <v>1</v>
      </c>
      <c r="K206" s="28"/>
      <c r="L206" s="28"/>
      <c r="M206" s="46"/>
    </row>
    <row r="207" ht="37.5" spans="2:13">
      <c r="B207" s="28">
        <f t="shared" si="4"/>
        <v>1468</v>
      </c>
      <c r="C207" s="28">
        <v>1</v>
      </c>
      <c r="D207" s="28" t="s">
        <v>546</v>
      </c>
      <c r="E207" s="41" t="s">
        <v>547</v>
      </c>
      <c r="F207" s="28" t="s">
        <v>109</v>
      </c>
      <c r="G207" s="28" t="s">
        <v>164</v>
      </c>
      <c r="H207" s="24" t="s">
        <v>172</v>
      </c>
      <c r="I207" s="24" t="s">
        <v>172</v>
      </c>
      <c r="J207" s="28">
        <v>1</v>
      </c>
      <c r="K207" s="28"/>
      <c r="L207" s="28"/>
      <c r="M207" s="46"/>
    </row>
    <row r="208" ht="18.75" spans="2:13">
      <c r="B208" s="28">
        <f t="shared" si="4"/>
        <v>1469</v>
      </c>
      <c r="C208" s="28">
        <v>1</v>
      </c>
      <c r="D208" s="28" t="s">
        <v>548</v>
      </c>
      <c r="E208" s="41" t="s">
        <v>549</v>
      </c>
      <c r="F208" s="28" t="s">
        <v>109</v>
      </c>
      <c r="G208" s="28" t="s">
        <v>164</v>
      </c>
      <c r="H208" s="24" t="s">
        <v>182</v>
      </c>
      <c r="I208" s="24" t="s">
        <v>468</v>
      </c>
      <c r="J208" s="28">
        <v>0.1</v>
      </c>
      <c r="K208" s="28"/>
      <c r="L208" s="28"/>
      <c r="M208" s="46"/>
    </row>
    <row r="209" ht="37.5" spans="2:13">
      <c r="B209" s="28">
        <f t="shared" si="4"/>
        <v>1470</v>
      </c>
      <c r="C209" s="28">
        <v>1</v>
      </c>
      <c r="D209" s="28" t="s">
        <v>550</v>
      </c>
      <c r="E209" s="41" t="s">
        <v>551</v>
      </c>
      <c r="F209" s="28" t="s">
        <v>109</v>
      </c>
      <c r="G209" s="28" t="s">
        <v>164</v>
      </c>
      <c r="H209" s="24" t="s">
        <v>172</v>
      </c>
      <c r="I209" s="24" t="s">
        <v>172</v>
      </c>
      <c r="J209" s="28">
        <v>1</v>
      </c>
      <c r="K209" s="28"/>
      <c r="L209" s="28"/>
      <c r="M209" s="46"/>
    </row>
    <row r="210" ht="37.5" spans="2:13">
      <c r="B210" s="28">
        <f t="shared" si="4"/>
        <v>1471</v>
      </c>
      <c r="C210" s="28">
        <v>1</v>
      </c>
      <c r="D210" s="28" t="s">
        <v>552</v>
      </c>
      <c r="E210" s="41" t="s">
        <v>553</v>
      </c>
      <c r="F210" s="28" t="s">
        <v>109</v>
      </c>
      <c r="G210" s="28" t="s">
        <v>164</v>
      </c>
      <c r="H210" s="24" t="s">
        <v>172</v>
      </c>
      <c r="I210" s="24" t="s">
        <v>172</v>
      </c>
      <c r="J210" s="28">
        <v>1</v>
      </c>
      <c r="K210" s="28"/>
      <c r="L210" s="28"/>
      <c r="M210" s="46"/>
    </row>
    <row r="211" ht="18.75" spans="2:13">
      <c r="B211" s="28">
        <f t="shared" si="4"/>
        <v>1472</v>
      </c>
      <c r="C211" s="28">
        <v>1</v>
      </c>
      <c r="D211" s="28" t="s">
        <v>554</v>
      </c>
      <c r="E211" s="41" t="s">
        <v>555</v>
      </c>
      <c r="F211" s="28" t="s">
        <v>109</v>
      </c>
      <c r="G211" s="28" t="s">
        <v>164</v>
      </c>
      <c r="H211" s="24" t="s">
        <v>182</v>
      </c>
      <c r="I211" s="24" t="s">
        <v>468</v>
      </c>
      <c r="J211" s="28">
        <v>0.1</v>
      </c>
      <c r="K211" s="28"/>
      <c r="L211" s="28"/>
      <c r="M211" s="46"/>
    </row>
    <row r="212" ht="37.5" spans="2:13">
      <c r="B212" s="28">
        <f t="shared" si="4"/>
        <v>1473</v>
      </c>
      <c r="C212" s="28">
        <v>1</v>
      </c>
      <c r="D212" s="28" t="s">
        <v>556</v>
      </c>
      <c r="E212" s="41" t="s">
        <v>557</v>
      </c>
      <c r="F212" s="28" t="s">
        <v>109</v>
      </c>
      <c r="G212" s="28" t="s">
        <v>164</v>
      </c>
      <c r="H212" s="24" t="s">
        <v>172</v>
      </c>
      <c r="I212" s="24" t="s">
        <v>172</v>
      </c>
      <c r="J212" s="28">
        <v>1</v>
      </c>
      <c r="K212" s="28"/>
      <c r="L212" s="28"/>
      <c r="M212" s="46"/>
    </row>
    <row r="213" ht="37.5" spans="2:13">
      <c r="B213" s="28">
        <f t="shared" si="4"/>
        <v>1474</v>
      </c>
      <c r="C213" s="28">
        <v>1</v>
      </c>
      <c r="D213" s="28" t="s">
        <v>558</v>
      </c>
      <c r="E213" s="41" t="s">
        <v>559</v>
      </c>
      <c r="F213" s="28" t="s">
        <v>109</v>
      </c>
      <c r="G213" s="28" t="s">
        <v>164</v>
      </c>
      <c r="H213" s="24" t="s">
        <v>172</v>
      </c>
      <c r="I213" s="24" t="s">
        <v>172</v>
      </c>
      <c r="J213" s="28">
        <v>1</v>
      </c>
      <c r="K213" s="28"/>
      <c r="L213" s="28"/>
      <c r="M213" s="46"/>
    </row>
    <row r="214" ht="18.75" spans="2:13">
      <c r="B214" s="28">
        <f t="shared" si="4"/>
        <v>1475</v>
      </c>
      <c r="C214" s="28">
        <v>1</v>
      </c>
      <c r="D214" s="28" t="s">
        <v>560</v>
      </c>
      <c r="E214" s="41" t="s">
        <v>561</v>
      </c>
      <c r="F214" s="28" t="s">
        <v>109</v>
      </c>
      <c r="G214" s="28" t="s">
        <v>164</v>
      </c>
      <c r="H214" s="24" t="s">
        <v>182</v>
      </c>
      <c r="I214" s="24" t="s">
        <v>468</v>
      </c>
      <c r="J214" s="28">
        <v>0.1</v>
      </c>
      <c r="K214" s="28"/>
      <c r="L214" s="28"/>
      <c r="M214" s="46"/>
    </row>
    <row r="215" ht="37.5" spans="2:13">
      <c r="B215" s="28">
        <f t="shared" si="4"/>
        <v>1476</v>
      </c>
      <c r="C215" s="28">
        <v>1</v>
      </c>
      <c r="D215" s="28" t="s">
        <v>562</v>
      </c>
      <c r="E215" s="41" t="s">
        <v>563</v>
      </c>
      <c r="F215" s="28" t="s">
        <v>109</v>
      </c>
      <c r="G215" s="28" t="s">
        <v>164</v>
      </c>
      <c r="H215" s="24" t="s">
        <v>172</v>
      </c>
      <c r="I215" s="24" t="s">
        <v>172</v>
      </c>
      <c r="J215" s="28">
        <v>1</v>
      </c>
      <c r="K215" s="28"/>
      <c r="L215" s="28"/>
      <c r="M215" s="46"/>
    </row>
    <row r="216" ht="37.5" spans="2:13">
      <c r="B216" s="28">
        <f t="shared" si="4"/>
        <v>1477</v>
      </c>
      <c r="C216" s="28">
        <v>1</v>
      </c>
      <c r="D216" s="28" t="s">
        <v>564</v>
      </c>
      <c r="E216" s="41" t="s">
        <v>565</v>
      </c>
      <c r="F216" s="28" t="s">
        <v>109</v>
      </c>
      <c r="G216" s="28" t="s">
        <v>164</v>
      </c>
      <c r="H216" s="24" t="s">
        <v>172</v>
      </c>
      <c r="I216" s="24" t="s">
        <v>172</v>
      </c>
      <c r="J216" s="28">
        <v>1</v>
      </c>
      <c r="K216" s="28"/>
      <c r="L216" s="28"/>
      <c r="M216" s="46"/>
    </row>
    <row r="217" ht="18.75" spans="2:13">
      <c r="B217" s="28">
        <f t="shared" si="4"/>
        <v>1478</v>
      </c>
      <c r="C217" s="28">
        <v>1</v>
      </c>
      <c r="D217" s="28" t="s">
        <v>566</v>
      </c>
      <c r="E217" s="41" t="s">
        <v>567</v>
      </c>
      <c r="F217" s="28" t="s">
        <v>109</v>
      </c>
      <c r="G217" s="28" t="s">
        <v>164</v>
      </c>
      <c r="H217" s="24" t="s">
        <v>182</v>
      </c>
      <c r="I217" s="24" t="s">
        <v>468</v>
      </c>
      <c r="J217" s="28">
        <v>0.1</v>
      </c>
      <c r="K217" s="28"/>
      <c r="L217" s="28"/>
      <c r="M217" s="46"/>
    </row>
    <row r="218" ht="37.5" spans="2:13">
      <c r="B218" s="28">
        <f t="shared" si="4"/>
        <v>1479</v>
      </c>
      <c r="C218" s="28">
        <v>1</v>
      </c>
      <c r="D218" s="28" t="s">
        <v>568</v>
      </c>
      <c r="E218" s="41" t="s">
        <v>569</v>
      </c>
      <c r="F218" s="28" t="s">
        <v>109</v>
      </c>
      <c r="G218" s="28" t="s">
        <v>155</v>
      </c>
      <c r="H218" s="24" t="s">
        <v>172</v>
      </c>
      <c r="I218" s="24" t="s">
        <v>172</v>
      </c>
      <c r="J218" s="28">
        <v>1</v>
      </c>
      <c r="K218" s="28"/>
      <c r="L218" s="28"/>
      <c r="M218" s="46"/>
    </row>
    <row r="219" ht="37.5" spans="2:13">
      <c r="B219" s="28">
        <f t="shared" si="4"/>
        <v>1480</v>
      </c>
      <c r="C219" s="28">
        <v>1</v>
      </c>
      <c r="D219" s="28" t="s">
        <v>570</v>
      </c>
      <c r="E219" s="41" t="s">
        <v>569</v>
      </c>
      <c r="F219" s="28" t="s">
        <v>109</v>
      </c>
      <c r="G219" s="28" t="s">
        <v>155</v>
      </c>
      <c r="H219" s="24" t="s">
        <v>172</v>
      </c>
      <c r="I219" s="24" t="s">
        <v>172</v>
      </c>
      <c r="J219" s="28">
        <v>1</v>
      </c>
      <c r="K219" s="28"/>
      <c r="L219" s="28"/>
      <c r="M219" s="46"/>
    </row>
    <row r="220" ht="18.75" spans="2:13">
      <c r="B220" s="28">
        <f t="shared" si="4"/>
        <v>1481</v>
      </c>
      <c r="C220" s="28">
        <v>1</v>
      </c>
      <c r="D220" s="28" t="s">
        <v>571</v>
      </c>
      <c r="E220" s="41" t="s">
        <v>572</v>
      </c>
      <c r="F220" s="28" t="s">
        <v>109</v>
      </c>
      <c r="G220" s="28" t="s">
        <v>155</v>
      </c>
      <c r="H220" s="24" t="s">
        <v>182</v>
      </c>
      <c r="I220" s="24" t="s">
        <v>172</v>
      </c>
      <c r="J220" s="28">
        <v>0.1</v>
      </c>
      <c r="K220" s="28"/>
      <c r="L220" s="28"/>
      <c r="M220" s="46"/>
    </row>
    <row r="221" ht="37.5" spans="2:13">
      <c r="B221" s="28">
        <f t="shared" si="4"/>
        <v>1482</v>
      </c>
      <c r="C221" s="28">
        <v>1</v>
      </c>
      <c r="D221" s="28" t="s">
        <v>573</v>
      </c>
      <c r="E221" s="41" t="s">
        <v>574</v>
      </c>
      <c r="F221" s="28" t="s">
        <v>109</v>
      </c>
      <c r="G221" s="28" t="s">
        <v>155</v>
      </c>
      <c r="H221" s="24" t="s">
        <v>172</v>
      </c>
      <c r="I221" s="24" t="s">
        <v>172</v>
      </c>
      <c r="J221" s="28">
        <v>1</v>
      </c>
      <c r="K221" s="28"/>
      <c r="L221" s="28"/>
      <c r="M221" s="46"/>
    </row>
    <row r="222" ht="37.5" spans="2:13">
      <c r="B222" s="28">
        <f t="shared" ref="B222:B285" si="5">B221+C221</f>
        <v>1483</v>
      </c>
      <c r="C222" s="28">
        <v>1</v>
      </c>
      <c r="D222" s="28" t="s">
        <v>575</v>
      </c>
      <c r="E222" s="41" t="s">
        <v>574</v>
      </c>
      <c r="F222" s="28" t="s">
        <v>109</v>
      </c>
      <c r="G222" s="28" t="s">
        <v>155</v>
      </c>
      <c r="H222" s="24" t="s">
        <v>172</v>
      </c>
      <c r="I222" s="24" t="s">
        <v>172</v>
      </c>
      <c r="J222" s="28">
        <v>1</v>
      </c>
      <c r="K222" s="28"/>
      <c r="L222" s="28"/>
      <c r="M222" s="46"/>
    </row>
    <row r="223" ht="18.75" spans="2:13">
      <c r="B223" s="28">
        <f t="shared" si="5"/>
        <v>1484</v>
      </c>
      <c r="C223" s="28">
        <v>1</v>
      </c>
      <c r="D223" s="28" t="s">
        <v>576</v>
      </c>
      <c r="E223" s="41" t="s">
        <v>577</v>
      </c>
      <c r="F223" s="28" t="s">
        <v>109</v>
      </c>
      <c r="G223" s="28" t="s">
        <v>155</v>
      </c>
      <c r="H223" s="24" t="s">
        <v>182</v>
      </c>
      <c r="I223" s="24" t="s">
        <v>172</v>
      </c>
      <c r="J223" s="28">
        <v>0.1</v>
      </c>
      <c r="K223" s="28"/>
      <c r="L223" s="28"/>
      <c r="M223" s="46"/>
    </row>
    <row r="224" ht="37.5" spans="2:13">
      <c r="B224" s="28">
        <f t="shared" si="5"/>
        <v>1485</v>
      </c>
      <c r="C224" s="28">
        <v>1</v>
      </c>
      <c r="D224" s="28" t="s">
        <v>578</v>
      </c>
      <c r="E224" s="41" t="s">
        <v>579</v>
      </c>
      <c r="F224" s="28" t="s">
        <v>109</v>
      </c>
      <c r="G224" s="28" t="s">
        <v>155</v>
      </c>
      <c r="H224" s="24" t="s">
        <v>172</v>
      </c>
      <c r="I224" s="24" t="s">
        <v>172</v>
      </c>
      <c r="J224" s="28">
        <v>1</v>
      </c>
      <c r="K224" s="28"/>
      <c r="L224" s="28"/>
      <c r="M224" s="46"/>
    </row>
    <row r="225" ht="37.5" spans="2:13">
      <c r="B225" s="28">
        <f t="shared" si="5"/>
        <v>1486</v>
      </c>
      <c r="C225" s="28">
        <v>1</v>
      </c>
      <c r="D225" s="28" t="s">
        <v>580</v>
      </c>
      <c r="E225" s="41" t="s">
        <v>579</v>
      </c>
      <c r="F225" s="28" t="s">
        <v>109</v>
      </c>
      <c r="G225" s="28" t="s">
        <v>155</v>
      </c>
      <c r="H225" s="24" t="s">
        <v>172</v>
      </c>
      <c r="I225" s="24" t="s">
        <v>172</v>
      </c>
      <c r="J225" s="28">
        <v>1</v>
      </c>
      <c r="K225" s="28"/>
      <c r="L225" s="28"/>
      <c r="M225" s="46"/>
    </row>
    <row r="226" ht="18.75" spans="2:13">
      <c r="B226" s="28">
        <f t="shared" si="5"/>
        <v>1487</v>
      </c>
      <c r="C226" s="28">
        <v>2</v>
      </c>
      <c r="D226" s="28" t="s">
        <v>581</v>
      </c>
      <c r="E226" s="41" t="s">
        <v>582</v>
      </c>
      <c r="F226" s="28" t="s">
        <v>109</v>
      </c>
      <c r="G226" s="28" t="s">
        <v>155</v>
      </c>
      <c r="H226" s="24" t="s">
        <v>182</v>
      </c>
      <c r="I226" s="24" t="s">
        <v>450</v>
      </c>
      <c r="J226" s="28">
        <v>0.1</v>
      </c>
      <c r="K226" s="28"/>
      <c r="L226" s="28"/>
      <c r="M226" s="46"/>
    </row>
    <row r="227" ht="37.5" spans="2:13">
      <c r="B227" s="28">
        <f t="shared" si="5"/>
        <v>1489</v>
      </c>
      <c r="C227" s="28">
        <v>1</v>
      </c>
      <c r="D227" s="28" t="s">
        <v>583</v>
      </c>
      <c r="E227" s="41" t="s">
        <v>584</v>
      </c>
      <c r="F227" s="28" t="s">
        <v>109</v>
      </c>
      <c r="G227" s="28" t="s">
        <v>155</v>
      </c>
      <c r="H227" s="24" t="s">
        <v>172</v>
      </c>
      <c r="I227" s="24" t="s">
        <v>172</v>
      </c>
      <c r="J227" s="28">
        <v>0.1</v>
      </c>
      <c r="K227" s="28"/>
      <c r="L227" s="28"/>
      <c r="M227" s="46"/>
    </row>
    <row r="228" ht="37.5" spans="2:13">
      <c r="B228" s="28">
        <f t="shared" si="5"/>
        <v>1490</v>
      </c>
      <c r="C228" s="28">
        <v>1</v>
      </c>
      <c r="D228" s="28" t="s">
        <v>585</v>
      </c>
      <c r="E228" s="41" t="s">
        <v>584</v>
      </c>
      <c r="F228" s="28" t="s">
        <v>109</v>
      </c>
      <c r="G228" s="28" t="s">
        <v>155</v>
      </c>
      <c r="H228" s="24" t="s">
        <v>172</v>
      </c>
      <c r="I228" s="24" t="s">
        <v>172</v>
      </c>
      <c r="J228" s="28">
        <v>0.1</v>
      </c>
      <c r="K228" s="28"/>
      <c r="L228" s="28"/>
      <c r="M228" s="46"/>
    </row>
    <row r="229" ht="18.75" spans="2:13">
      <c r="B229" s="28">
        <f t="shared" si="5"/>
        <v>1491</v>
      </c>
      <c r="C229" s="28">
        <v>2</v>
      </c>
      <c r="D229" s="28" t="s">
        <v>586</v>
      </c>
      <c r="E229" s="41" t="s">
        <v>587</v>
      </c>
      <c r="F229" s="28" t="s">
        <v>109</v>
      </c>
      <c r="G229" s="28" t="s">
        <v>155</v>
      </c>
      <c r="H229" s="24" t="s">
        <v>182</v>
      </c>
      <c r="I229" s="24" t="s">
        <v>450</v>
      </c>
      <c r="J229" s="28">
        <v>0.1</v>
      </c>
      <c r="K229" s="28"/>
      <c r="L229" s="28"/>
      <c r="M229" s="46"/>
    </row>
    <row r="230" ht="37.5" spans="2:13">
      <c r="B230" s="28">
        <f t="shared" si="5"/>
        <v>1493</v>
      </c>
      <c r="C230" s="28">
        <v>1</v>
      </c>
      <c r="D230" s="28" t="s">
        <v>588</v>
      </c>
      <c r="E230" s="41" t="s">
        <v>589</v>
      </c>
      <c r="F230" s="28" t="s">
        <v>109</v>
      </c>
      <c r="G230" s="28" t="s">
        <v>164</v>
      </c>
      <c r="H230" s="24" t="s">
        <v>172</v>
      </c>
      <c r="I230" s="24" t="s">
        <v>172</v>
      </c>
      <c r="J230" s="28">
        <v>1</v>
      </c>
      <c r="K230" s="28"/>
      <c r="L230" s="28"/>
      <c r="M230" s="46"/>
    </row>
    <row r="231" ht="37.5" spans="2:13">
      <c r="B231" s="28">
        <f t="shared" si="5"/>
        <v>1494</v>
      </c>
      <c r="C231" s="28">
        <v>1</v>
      </c>
      <c r="D231" s="28" t="s">
        <v>590</v>
      </c>
      <c r="E231" s="41" t="s">
        <v>591</v>
      </c>
      <c r="F231" s="28" t="s">
        <v>109</v>
      </c>
      <c r="G231" s="28" t="s">
        <v>164</v>
      </c>
      <c r="H231" s="24" t="s">
        <v>172</v>
      </c>
      <c r="I231" s="24" t="s">
        <v>172</v>
      </c>
      <c r="J231" s="28">
        <v>1</v>
      </c>
      <c r="K231" s="28"/>
      <c r="L231" s="28"/>
      <c r="M231" s="46"/>
    </row>
    <row r="232" ht="18.75" spans="2:13">
      <c r="B232" s="28">
        <f t="shared" si="5"/>
        <v>1495</v>
      </c>
      <c r="C232" s="28">
        <v>2</v>
      </c>
      <c r="D232" s="28" t="s">
        <v>592</v>
      </c>
      <c r="E232" s="41" t="s">
        <v>593</v>
      </c>
      <c r="F232" s="28" t="s">
        <v>109</v>
      </c>
      <c r="G232" s="28" t="s">
        <v>164</v>
      </c>
      <c r="H232" s="24" t="s">
        <v>182</v>
      </c>
      <c r="I232" s="24" t="s">
        <v>179</v>
      </c>
      <c r="J232" s="28">
        <v>0.1</v>
      </c>
      <c r="K232" s="28"/>
      <c r="L232" s="28"/>
      <c r="M232" s="46"/>
    </row>
    <row r="233" ht="37.5" spans="2:13">
      <c r="B233" s="28">
        <f t="shared" si="5"/>
        <v>1497</v>
      </c>
      <c r="C233" s="28">
        <v>1</v>
      </c>
      <c r="D233" s="28" t="s">
        <v>594</v>
      </c>
      <c r="E233" s="41" t="s">
        <v>595</v>
      </c>
      <c r="F233" s="28" t="s">
        <v>109</v>
      </c>
      <c r="G233" s="28" t="s">
        <v>164</v>
      </c>
      <c r="H233" s="24" t="s">
        <v>172</v>
      </c>
      <c r="I233" s="24" t="s">
        <v>172</v>
      </c>
      <c r="J233" s="28">
        <v>1</v>
      </c>
      <c r="K233" s="28"/>
      <c r="L233" s="28"/>
      <c r="M233" s="46"/>
    </row>
    <row r="234" ht="37.5" spans="2:13">
      <c r="B234" s="28">
        <f t="shared" si="5"/>
        <v>1498</v>
      </c>
      <c r="C234" s="28">
        <v>1</v>
      </c>
      <c r="D234" s="28" t="s">
        <v>596</v>
      </c>
      <c r="E234" s="41" t="s">
        <v>597</v>
      </c>
      <c r="F234" s="28" t="s">
        <v>109</v>
      </c>
      <c r="G234" s="28" t="s">
        <v>164</v>
      </c>
      <c r="H234" s="24" t="s">
        <v>172</v>
      </c>
      <c r="I234" s="24" t="s">
        <v>172</v>
      </c>
      <c r="J234" s="28">
        <v>1</v>
      </c>
      <c r="K234" s="28"/>
      <c r="L234" s="28"/>
      <c r="M234" s="46"/>
    </row>
    <row r="235" ht="18.75" spans="2:13">
      <c r="B235" s="28">
        <f t="shared" si="5"/>
        <v>1499</v>
      </c>
      <c r="C235" s="28">
        <v>2</v>
      </c>
      <c r="D235" s="28" t="s">
        <v>598</v>
      </c>
      <c r="E235" s="41" t="s">
        <v>599</v>
      </c>
      <c r="F235" s="28" t="s">
        <v>109</v>
      </c>
      <c r="G235" s="28" t="s">
        <v>164</v>
      </c>
      <c r="H235" s="24" t="s">
        <v>182</v>
      </c>
      <c r="I235" s="24" t="s">
        <v>179</v>
      </c>
      <c r="J235" s="28">
        <v>0.1</v>
      </c>
      <c r="K235" s="28"/>
      <c r="L235" s="28"/>
      <c r="M235" s="46"/>
    </row>
    <row r="236" ht="37.5" spans="2:13">
      <c r="B236" s="28">
        <f t="shared" si="5"/>
        <v>1501</v>
      </c>
      <c r="C236" s="28">
        <v>1</v>
      </c>
      <c r="D236" s="28" t="s">
        <v>600</v>
      </c>
      <c r="E236" s="41" t="s">
        <v>601</v>
      </c>
      <c r="F236" s="28" t="s">
        <v>109</v>
      </c>
      <c r="G236" s="28" t="s">
        <v>164</v>
      </c>
      <c r="H236" s="24" t="s">
        <v>172</v>
      </c>
      <c r="I236" s="24" t="s">
        <v>172</v>
      </c>
      <c r="J236" s="28">
        <v>1</v>
      </c>
      <c r="K236" s="28"/>
      <c r="L236" s="28"/>
      <c r="M236" s="46"/>
    </row>
    <row r="237" ht="37.5" spans="2:13">
      <c r="B237" s="28">
        <f t="shared" si="5"/>
        <v>1502</v>
      </c>
      <c r="C237" s="28">
        <v>1</v>
      </c>
      <c r="D237" s="28" t="s">
        <v>602</v>
      </c>
      <c r="E237" s="41" t="s">
        <v>603</v>
      </c>
      <c r="F237" s="28" t="s">
        <v>109</v>
      </c>
      <c r="G237" s="28" t="s">
        <v>164</v>
      </c>
      <c r="H237" s="24" t="s">
        <v>172</v>
      </c>
      <c r="I237" s="24" t="s">
        <v>172</v>
      </c>
      <c r="J237" s="28">
        <v>1</v>
      </c>
      <c r="K237" s="28"/>
      <c r="L237" s="28"/>
      <c r="M237" s="46"/>
    </row>
    <row r="238" ht="18.75" spans="2:13">
      <c r="B238" s="28">
        <f t="shared" si="5"/>
        <v>1503</v>
      </c>
      <c r="C238" s="28">
        <v>2</v>
      </c>
      <c r="D238" s="28" t="s">
        <v>604</v>
      </c>
      <c r="E238" s="41" t="s">
        <v>605</v>
      </c>
      <c r="F238" s="28" t="s">
        <v>109</v>
      </c>
      <c r="G238" s="28" t="s">
        <v>164</v>
      </c>
      <c r="H238" s="24" t="s">
        <v>182</v>
      </c>
      <c r="I238" s="24" t="s">
        <v>179</v>
      </c>
      <c r="J238" s="28">
        <v>0.1</v>
      </c>
      <c r="K238" s="28"/>
      <c r="L238" s="28"/>
      <c r="M238" s="46"/>
    </row>
    <row r="239" ht="37.5" spans="2:13">
      <c r="B239" s="28">
        <f t="shared" si="5"/>
        <v>1505</v>
      </c>
      <c r="C239" s="28">
        <v>1</v>
      </c>
      <c r="D239" s="28" t="s">
        <v>606</v>
      </c>
      <c r="E239" s="41" t="s">
        <v>607</v>
      </c>
      <c r="F239" s="28" t="s">
        <v>109</v>
      </c>
      <c r="G239" s="28" t="s">
        <v>164</v>
      </c>
      <c r="H239" s="24" t="s">
        <v>172</v>
      </c>
      <c r="I239" s="24" t="s">
        <v>172</v>
      </c>
      <c r="J239" s="28">
        <v>1</v>
      </c>
      <c r="K239" s="28"/>
      <c r="L239" s="28"/>
      <c r="M239" s="46"/>
    </row>
    <row r="240" ht="37.5" spans="2:13">
      <c r="B240" s="28">
        <f t="shared" si="5"/>
        <v>1506</v>
      </c>
      <c r="C240" s="28">
        <v>1</v>
      </c>
      <c r="D240" s="28" t="s">
        <v>608</v>
      </c>
      <c r="E240" s="41" t="s">
        <v>609</v>
      </c>
      <c r="F240" s="28" t="s">
        <v>109</v>
      </c>
      <c r="G240" s="28" t="s">
        <v>164</v>
      </c>
      <c r="H240" s="24" t="s">
        <v>172</v>
      </c>
      <c r="I240" s="24" t="s">
        <v>172</v>
      </c>
      <c r="J240" s="28">
        <v>1</v>
      </c>
      <c r="K240" s="28"/>
      <c r="L240" s="28"/>
      <c r="M240" s="46"/>
    </row>
    <row r="241" ht="18.75" spans="2:13">
      <c r="B241" s="28">
        <f t="shared" si="5"/>
        <v>1507</v>
      </c>
      <c r="C241" s="28">
        <v>2</v>
      </c>
      <c r="D241" s="28" t="s">
        <v>610</v>
      </c>
      <c r="E241" s="41" t="s">
        <v>611</v>
      </c>
      <c r="F241" s="28" t="s">
        <v>109</v>
      </c>
      <c r="G241" s="28" t="s">
        <v>164</v>
      </c>
      <c r="H241" s="24" t="s">
        <v>182</v>
      </c>
      <c r="I241" s="24" t="s">
        <v>179</v>
      </c>
      <c r="J241" s="28">
        <v>0.1</v>
      </c>
      <c r="K241" s="28"/>
      <c r="L241" s="28"/>
      <c r="M241" s="46"/>
    </row>
    <row r="242" ht="37.5" spans="2:13">
      <c r="B242" s="28">
        <f t="shared" si="5"/>
        <v>1509</v>
      </c>
      <c r="C242" s="28">
        <v>1</v>
      </c>
      <c r="D242" s="28" t="s">
        <v>612</v>
      </c>
      <c r="E242" s="41" t="s">
        <v>613</v>
      </c>
      <c r="F242" s="28" t="s">
        <v>109</v>
      </c>
      <c r="G242" s="28" t="s">
        <v>164</v>
      </c>
      <c r="H242" s="24" t="s">
        <v>172</v>
      </c>
      <c r="I242" s="24" t="s">
        <v>172</v>
      </c>
      <c r="J242" s="28">
        <v>1</v>
      </c>
      <c r="K242" s="28"/>
      <c r="L242" s="28"/>
      <c r="M242" s="46"/>
    </row>
    <row r="243" ht="37.5" spans="2:13">
      <c r="B243" s="28">
        <f t="shared" si="5"/>
        <v>1510</v>
      </c>
      <c r="C243" s="28">
        <v>1</v>
      </c>
      <c r="D243" s="28" t="s">
        <v>614</v>
      </c>
      <c r="E243" s="41" t="s">
        <v>615</v>
      </c>
      <c r="F243" s="28" t="s">
        <v>109</v>
      </c>
      <c r="G243" s="28" t="s">
        <v>164</v>
      </c>
      <c r="H243" s="24" t="s">
        <v>172</v>
      </c>
      <c r="I243" s="24" t="s">
        <v>172</v>
      </c>
      <c r="J243" s="28">
        <v>1</v>
      </c>
      <c r="K243" s="28"/>
      <c r="L243" s="28"/>
      <c r="M243" s="46"/>
    </row>
    <row r="244" ht="37.5" spans="2:13">
      <c r="B244" s="28">
        <f t="shared" si="5"/>
        <v>1511</v>
      </c>
      <c r="C244" s="28">
        <v>2</v>
      </c>
      <c r="D244" s="28" t="s">
        <v>616</v>
      </c>
      <c r="E244" s="41" t="s">
        <v>617</v>
      </c>
      <c r="F244" s="28" t="s">
        <v>109</v>
      </c>
      <c r="G244" s="28" t="s">
        <v>164</v>
      </c>
      <c r="H244" s="24" t="s">
        <v>182</v>
      </c>
      <c r="I244" s="24" t="s">
        <v>179</v>
      </c>
      <c r="J244" s="28">
        <v>0.1</v>
      </c>
      <c r="K244" s="28"/>
      <c r="L244" s="28"/>
      <c r="M244" s="46"/>
    </row>
    <row r="245" ht="37.5" spans="2:13">
      <c r="B245" s="28">
        <f t="shared" si="5"/>
        <v>1513</v>
      </c>
      <c r="C245" s="28">
        <v>1</v>
      </c>
      <c r="D245" s="28" t="s">
        <v>618</v>
      </c>
      <c r="E245" s="41" t="s">
        <v>619</v>
      </c>
      <c r="F245" s="28" t="s">
        <v>109</v>
      </c>
      <c r="G245" s="28" t="s">
        <v>164</v>
      </c>
      <c r="H245" s="24" t="s">
        <v>172</v>
      </c>
      <c r="I245" s="24" t="s">
        <v>172</v>
      </c>
      <c r="J245" s="28">
        <v>1</v>
      </c>
      <c r="K245" s="28"/>
      <c r="L245" s="28"/>
      <c r="M245" s="46"/>
    </row>
    <row r="246" ht="37.5" spans="2:13">
      <c r="B246" s="28">
        <f t="shared" si="5"/>
        <v>1514</v>
      </c>
      <c r="C246" s="28">
        <v>1</v>
      </c>
      <c r="D246" s="28" t="s">
        <v>620</v>
      </c>
      <c r="E246" s="41" t="s">
        <v>621</v>
      </c>
      <c r="F246" s="28" t="s">
        <v>109</v>
      </c>
      <c r="G246" s="28" t="s">
        <v>164</v>
      </c>
      <c r="H246" s="24" t="s">
        <v>172</v>
      </c>
      <c r="I246" s="24" t="s">
        <v>172</v>
      </c>
      <c r="J246" s="28">
        <v>1</v>
      </c>
      <c r="K246" s="28"/>
      <c r="L246" s="28"/>
      <c r="M246" s="46"/>
    </row>
    <row r="247" ht="37.5" spans="2:13">
      <c r="B247" s="28">
        <f t="shared" si="5"/>
        <v>1515</v>
      </c>
      <c r="C247" s="28">
        <v>2</v>
      </c>
      <c r="D247" s="28" t="s">
        <v>622</v>
      </c>
      <c r="E247" s="41" t="s">
        <v>623</v>
      </c>
      <c r="F247" s="28" t="s">
        <v>109</v>
      </c>
      <c r="G247" s="28" t="s">
        <v>164</v>
      </c>
      <c r="H247" s="24" t="s">
        <v>182</v>
      </c>
      <c r="I247" s="24" t="s">
        <v>179</v>
      </c>
      <c r="J247" s="28">
        <v>0.1</v>
      </c>
      <c r="K247" s="28"/>
      <c r="L247" s="28"/>
      <c r="M247" s="46"/>
    </row>
    <row r="248" ht="37.5" spans="2:13">
      <c r="B248" s="28">
        <f t="shared" si="5"/>
        <v>1517</v>
      </c>
      <c r="C248" s="28">
        <v>1</v>
      </c>
      <c r="D248" s="28" t="s">
        <v>624</v>
      </c>
      <c r="E248" s="41" t="s">
        <v>625</v>
      </c>
      <c r="F248" s="28" t="s">
        <v>109</v>
      </c>
      <c r="G248" s="28" t="s">
        <v>164</v>
      </c>
      <c r="H248" s="24" t="s">
        <v>172</v>
      </c>
      <c r="I248" s="24" t="s">
        <v>172</v>
      </c>
      <c r="J248" s="28">
        <v>1</v>
      </c>
      <c r="K248" s="28"/>
      <c r="L248" s="28"/>
      <c r="M248" s="46"/>
    </row>
    <row r="249" ht="37.5" spans="2:13">
      <c r="B249" s="28">
        <f t="shared" si="5"/>
        <v>1518</v>
      </c>
      <c r="C249" s="28">
        <v>1</v>
      </c>
      <c r="D249" s="28" t="s">
        <v>626</v>
      </c>
      <c r="E249" s="41" t="s">
        <v>627</v>
      </c>
      <c r="F249" s="28" t="s">
        <v>109</v>
      </c>
      <c r="G249" s="28" t="s">
        <v>164</v>
      </c>
      <c r="H249" s="24" t="s">
        <v>172</v>
      </c>
      <c r="I249" s="24" t="s">
        <v>172</v>
      </c>
      <c r="J249" s="28">
        <v>1</v>
      </c>
      <c r="K249" s="28"/>
      <c r="L249" s="28"/>
      <c r="M249" s="46"/>
    </row>
    <row r="250" ht="37.5" spans="2:13">
      <c r="B250" s="28">
        <f t="shared" si="5"/>
        <v>1519</v>
      </c>
      <c r="C250" s="28">
        <v>2</v>
      </c>
      <c r="D250" s="28" t="s">
        <v>628</v>
      </c>
      <c r="E250" s="41" t="s">
        <v>629</v>
      </c>
      <c r="F250" s="28" t="s">
        <v>109</v>
      </c>
      <c r="G250" s="28" t="s">
        <v>164</v>
      </c>
      <c r="H250" s="24" t="s">
        <v>182</v>
      </c>
      <c r="I250" s="24" t="s">
        <v>179</v>
      </c>
      <c r="J250" s="28">
        <v>0.1</v>
      </c>
      <c r="K250" s="28"/>
      <c r="L250" s="28"/>
      <c r="M250" s="46"/>
    </row>
    <row r="251" ht="37.5" spans="2:13">
      <c r="B251" s="28">
        <f t="shared" si="5"/>
        <v>1521</v>
      </c>
      <c r="C251" s="28">
        <v>1</v>
      </c>
      <c r="D251" s="28" t="s">
        <v>630</v>
      </c>
      <c r="E251" s="41" t="s">
        <v>631</v>
      </c>
      <c r="F251" s="28" t="s">
        <v>109</v>
      </c>
      <c r="G251" s="28" t="s">
        <v>164</v>
      </c>
      <c r="H251" s="24" t="s">
        <v>172</v>
      </c>
      <c r="I251" s="24" t="s">
        <v>172</v>
      </c>
      <c r="J251" s="28">
        <v>1</v>
      </c>
      <c r="K251" s="28"/>
      <c r="L251" s="28"/>
      <c r="M251" s="46"/>
    </row>
    <row r="252" ht="37.5" spans="2:13">
      <c r="B252" s="28">
        <f t="shared" si="5"/>
        <v>1522</v>
      </c>
      <c r="C252" s="28">
        <v>1</v>
      </c>
      <c r="D252" s="28" t="s">
        <v>632</v>
      </c>
      <c r="E252" s="41" t="s">
        <v>633</v>
      </c>
      <c r="F252" s="28" t="s">
        <v>109</v>
      </c>
      <c r="G252" s="28" t="s">
        <v>164</v>
      </c>
      <c r="H252" s="24" t="s">
        <v>172</v>
      </c>
      <c r="I252" s="24" t="s">
        <v>172</v>
      </c>
      <c r="J252" s="28">
        <v>1</v>
      </c>
      <c r="K252" s="28"/>
      <c r="L252" s="28"/>
      <c r="M252" s="46"/>
    </row>
    <row r="253" ht="37.5" spans="2:13">
      <c r="B253" s="28">
        <f t="shared" si="5"/>
        <v>1523</v>
      </c>
      <c r="C253" s="28">
        <v>2</v>
      </c>
      <c r="D253" s="28" t="s">
        <v>634</v>
      </c>
      <c r="E253" s="41" t="s">
        <v>635</v>
      </c>
      <c r="F253" s="28" t="s">
        <v>109</v>
      </c>
      <c r="G253" s="28" t="s">
        <v>164</v>
      </c>
      <c r="H253" s="24" t="s">
        <v>182</v>
      </c>
      <c r="I253" s="24" t="s">
        <v>179</v>
      </c>
      <c r="J253" s="28">
        <v>0.1</v>
      </c>
      <c r="K253" s="28"/>
      <c r="L253" s="28"/>
      <c r="M253" s="46"/>
    </row>
    <row r="254" ht="37.5" spans="2:13">
      <c r="B254" s="28">
        <f t="shared" si="5"/>
        <v>1525</v>
      </c>
      <c r="C254" s="28">
        <v>1</v>
      </c>
      <c r="D254" s="28" t="s">
        <v>636</v>
      </c>
      <c r="E254" s="41" t="s">
        <v>637</v>
      </c>
      <c r="F254" s="28" t="s">
        <v>109</v>
      </c>
      <c r="G254" s="28" t="s">
        <v>155</v>
      </c>
      <c r="H254" s="24" t="s">
        <v>172</v>
      </c>
      <c r="I254" s="24" t="s">
        <v>172</v>
      </c>
      <c r="J254" s="28">
        <v>1</v>
      </c>
      <c r="K254" s="28"/>
      <c r="L254" s="28"/>
      <c r="M254" s="46"/>
    </row>
    <row r="255" ht="37.5" spans="2:13">
      <c r="B255" s="28">
        <f t="shared" si="5"/>
        <v>1526</v>
      </c>
      <c r="C255" s="28">
        <v>1</v>
      </c>
      <c r="D255" s="28" t="s">
        <v>638</v>
      </c>
      <c r="E255" s="41" t="s">
        <v>637</v>
      </c>
      <c r="F255" s="28" t="s">
        <v>109</v>
      </c>
      <c r="G255" s="28" t="s">
        <v>155</v>
      </c>
      <c r="H255" s="24" t="s">
        <v>172</v>
      </c>
      <c r="I255" s="24" t="s">
        <v>172</v>
      </c>
      <c r="J255" s="28">
        <v>1</v>
      </c>
      <c r="K255" s="28"/>
      <c r="L255" s="28"/>
      <c r="M255" s="46"/>
    </row>
    <row r="256" ht="37.5" spans="2:13">
      <c r="B256" s="28">
        <f t="shared" si="5"/>
        <v>1527</v>
      </c>
      <c r="C256" s="28">
        <v>2</v>
      </c>
      <c r="D256" s="28" t="s">
        <v>639</v>
      </c>
      <c r="E256" s="41" t="s">
        <v>640</v>
      </c>
      <c r="F256" s="28" t="s">
        <v>109</v>
      </c>
      <c r="G256" s="28" t="s">
        <v>155</v>
      </c>
      <c r="H256" s="24" t="s">
        <v>182</v>
      </c>
      <c r="I256" s="24" t="s">
        <v>450</v>
      </c>
      <c r="J256" s="28">
        <v>0.1</v>
      </c>
      <c r="K256" s="28"/>
      <c r="L256" s="28"/>
      <c r="M256" s="46"/>
    </row>
    <row r="257" ht="37.5" spans="2:13">
      <c r="B257" s="28">
        <f t="shared" si="5"/>
        <v>1529</v>
      </c>
      <c r="C257" s="28">
        <v>1</v>
      </c>
      <c r="D257" s="28" t="s">
        <v>641</v>
      </c>
      <c r="E257" s="41" t="s">
        <v>642</v>
      </c>
      <c r="F257" s="28" t="s">
        <v>109</v>
      </c>
      <c r="G257" s="28" t="s">
        <v>155</v>
      </c>
      <c r="H257" s="24" t="s">
        <v>172</v>
      </c>
      <c r="I257" s="24" t="s">
        <v>172</v>
      </c>
      <c r="J257" s="28">
        <v>1</v>
      </c>
      <c r="K257" s="28"/>
      <c r="L257" s="28"/>
      <c r="M257" s="46"/>
    </row>
    <row r="258" ht="37.5" spans="2:13">
      <c r="B258" s="28">
        <f t="shared" si="5"/>
        <v>1530</v>
      </c>
      <c r="C258" s="28">
        <v>1</v>
      </c>
      <c r="D258" s="28" t="s">
        <v>643</v>
      </c>
      <c r="E258" s="41" t="s">
        <v>642</v>
      </c>
      <c r="F258" s="28" t="s">
        <v>109</v>
      </c>
      <c r="G258" s="28" t="s">
        <v>155</v>
      </c>
      <c r="H258" s="24" t="s">
        <v>172</v>
      </c>
      <c r="I258" s="24" t="s">
        <v>172</v>
      </c>
      <c r="J258" s="28">
        <v>1</v>
      </c>
      <c r="K258" s="28"/>
      <c r="L258" s="28"/>
      <c r="M258" s="46"/>
    </row>
    <row r="259" ht="37.5" spans="2:13">
      <c r="B259" s="28">
        <f t="shared" si="5"/>
        <v>1531</v>
      </c>
      <c r="C259" s="28">
        <v>2</v>
      </c>
      <c r="D259" s="28" t="s">
        <v>644</v>
      </c>
      <c r="E259" s="41" t="s">
        <v>645</v>
      </c>
      <c r="F259" s="28" t="s">
        <v>109</v>
      </c>
      <c r="G259" s="28" t="s">
        <v>155</v>
      </c>
      <c r="H259" s="24" t="s">
        <v>182</v>
      </c>
      <c r="I259" s="24" t="s">
        <v>450</v>
      </c>
      <c r="J259" s="28">
        <v>0.1</v>
      </c>
      <c r="K259" s="28"/>
      <c r="L259" s="28"/>
      <c r="M259" s="46"/>
    </row>
    <row r="260" ht="37.5" spans="2:13">
      <c r="B260" s="28">
        <f t="shared" si="5"/>
        <v>1533</v>
      </c>
      <c r="C260" s="28">
        <v>1</v>
      </c>
      <c r="D260" s="28" t="s">
        <v>646</v>
      </c>
      <c r="E260" s="41" t="s">
        <v>647</v>
      </c>
      <c r="F260" s="28" t="s">
        <v>109</v>
      </c>
      <c r="G260" s="28" t="s">
        <v>155</v>
      </c>
      <c r="H260" s="24" t="s">
        <v>172</v>
      </c>
      <c r="I260" s="24" t="s">
        <v>172</v>
      </c>
      <c r="J260" s="28">
        <v>1</v>
      </c>
      <c r="K260" s="28"/>
      <c r="L260" s="28"/>
      <c r="M260" s="46"/>
    </row>
    <row r="261" ht="37.5" spans="2:13">
      <c r="B261" s="28">
        <f t="shared" si="5"/>
        <v>1534</v>
      </c>
      <c r="C261" s="28">
        <v>1</v>
      </c>
      <c r="D261" s="28" t="s">
        <v>648</v>
      </c>
      <c r="E261" s="41" t="s">
        <v>647</v>
      </c>
      <c r="F261" s="28" t="s">
        <v>109</v>
      </c>
      <c r="G261" s="28" t="s">
        <v>155</v>
      </c>
      <c r="H261" s="24" t="s">
        <v>172</v>
      </c>
      <c r="I261" s="24" t="s">
        <v>172</v>
      </c>
      <c r="J261" s="28">
        <v>1</v>
      </c>
      <c r="K261" s="28"/>
      <c r="L261" s="28"/>
      <c r="M261" s="46"/>
    </row>
    <row r="262" ht="37.5" spans="2:13">
      <c r="B262" s="28">
        <f t="shared" si="5"/>
        <v>1535</v>
      </c>
      <c r="C262" s="28">
        <v>2</v>
      </c>
      <c r="D262" s="28" t="s">
        <v>649</v>
      </c>
      <c r="E262" s="41" t="s">
        <v>650</v>
      </c>
      <c r="F262" s="28" t="s">
        <v>109</v>
      </c>
      <c r="G262" s="28" t="s">
        <v>155</v>
      </c>
      <c r="H262" s="24" t="s">
        <v>182</v>
      </c>
      <c r="I262" s="24" t="s">
        <v>450</v>
      </c>
      <c r="J262" s="28">
        <v>0.1</v>
      </c>
      <c r="K262" s="28"/>
      <c r="L262" s="28"/>
      <c r="M262" s="46"/>
    </row>
    <row r="263" ht="37.5" spans="2:13">
      <c r="B263" s="28">
        <f t="shared" si="5"/>
        <v>1537</v>
      </c>
      <c r="C263" s="28">
        <v>1</v>
      </c>
      <c r="D263" s="28" t="s">
        <v>651</v>
      </c>
      <c r="E263" s="41" t="s">
        <v>652</v>
      </c>
      <c r="F263" s="28" t="s">
        <v>109</v>
      </c>
      <c r="G263" s="28" t="s">
        <v>155</v>
      </c>
      <c r="H263" s="24" t="s">
        <v>172</v>
      </c>
      <c r="I263" s="24" t="s">
        <v>172</v>
      </c>
      <c r="J263" s="28">
        <v>1</v>
      </c>
      <c r="K263" s="28"/>
      <c r="L263" s="28"/>
      <c r="M263" s="46"/>
    </row>
    <row r="264" ht="37.5" spans="2:13">
      <c r="B264" s="28">
        <f t="shared" si="5"/>
        <v>1538</v>
      </c>
      <c r="C264" s="28">
        <v>1</v>
      </c>
      <c r="D264" s="28" t="s">
        <v>653</v>
      </c>
      <c r="E264" s="41" t="s">
        <v>652</v>
      </c>
      <c r="F264" s="28" t="s">
        <v>109</v>
      </c>
      <c r="G264" s="28" t="s">
        <v>155</v>
      </c>
      <c r="H264" s="24" t="s">
        <v>172</v>
      </c>
      <c r="I264" s="24" t="s">
        <v>172</v>
      </c>
      <c r="J264" s="28">
        <v>1</v>
      </c>
      <c r="K264" s="28"/>
      <c r="L264" s="28"/>
      <c r="M264" s="46"/>
    </row>
    <row r="265" ht="37.5" spans="2:13">
      <c r="B265" s="28">
        <f t="shared" si="5"/>
        <v>1539</v>
      </c>
      <c r="C265" s="28">
        <v>2</v>
      </c>
      <c r="D265" s="28" t="s">
        <v>654</v>
      </c>
      <c r="E265" s="41" t="s">
        <v>655</v>
      </c>
      <c r="F265" s="28" t="s">
        <v>109</v>
      </c>
      <c r="G265" s="28" t="s">
        <v>155</v>
      </c>
      <c r="H265" s="24" t="s">
        <v>182</v>
      </c>
      <c r="I265" s="24" t="s">
        <v>450</v>
      </c>
      <c r="J265" s="28">
        <v>0.1</v>
      </c>
      <c r="K265" s="28"/>
      <c r="L265" s="28"/>
      <c r="M265" s="46"/>
    </row>
    <row r="266" ht="18.75" spans="2:13">
      <c r="B266" s="28">
        <f t="shared" si="5"/>
        <v>1541</v>
      </c>
      <c r="C266" s="28">
        <v>2</v>
      </c>
      <c r="D266" s="28" t="s">
        <v>656</v>
      </c>
      <c r="E266" s="41" t="s">
        <v>657</v>
      </c>
      <c r="F266" s="28" t="s">
        <v>109</v>
      </c>
      <c r="G266" s="28"/>
      <c r="H266" s="24" t="s">
        <v>179</v>
      </c>
      <c r="I266" s="24" t="s">
        <v>179</v>
      </c>
      <c r="J266" s="28">
        <v>0.1</v>
      </c>
      <c r="K266" s="28"/>
      <c r="L266" s="41" t="s">
        <v>658</v>
      </c>
      <c r="M266" s="46"/>
    </row>
    <row r="267" ht="18.75" spans="2:13">
      <c r="B267" s="28">
        <f t="shared" si="5"/>
        <v>1543</v>
      </c>
      <c r="C267" s="28">
        <v>2</v>
      </c>
      <c r="D267" s="28" t="s">
        <v>659</v>
      </c>
      <c r="E267" s="41" t="s">
        <v>660</v>
      </c>
      <c r="F267" s="28" t="s">
        <v>109</v>
      </c>
      <c r="G267" s="28"/>
      <c r="H267" s="24" t="s">
        <v>179</v>
      </c>
      <c r="I267" s="24" t="s">
        <v>179</v>
      </c>
      <c r="J267" s="28">
        <v>0.1</v>
      </c>
      <c r="K267" s="28"/>
      <c r="L267" s="41" t="s">
        <v>658</v>
      </c>
      <c r="M267" s="46"/>
    </row>
    <row r="268" ht="18.75" spans="2:13">
      <c r="B268" s="28">
        <f t="shared" si="5"/>
        <v>1545</v>
      </c>
      <c r="C268" s="28">
        <v>2</v>
      </c>
      <c r="D268" s="28" t="s">
        <v>661</v>
      </c>
      <c r="E268" s="41" t="s">
        <v>662</v>
      </c>
      <c r="F268" s="28" t="s">
        <v>109</v>
      </c>
      <c r="G268" s="28"/>
      <c r="H268" s="24" t="s">
        <v>179</v>
      </c>
      <c r="I268" s="24" t="s">
        <v>179</v>
      </c>
      <c r="J268" s="28">
        <v>0.1</v>
      </c>
      <c r="K268" s="28"/>
      <c r="L268" s="41" t="s">
        <v>658</v>
      </c>
      <c r="M268" s="46"/>
    </row>
    <row r="269" ht="18.75" spans="2:13">
      <c r="B269" s="28">
        <f t="shared" si="5"/>
        <v>1547</v>
      </c>
      <c r="C269" s="28">
        <v>1</v>
      </c>
      <c r="D269" s="28" t="s">
        <v>663</v>
      </c>
      <c r="E269" s="41" t="s">
        <v>664</v>
      </c>
      <c r="F269" s="28" t="s">
        <v>109</v>
      </c>
      <c r="G269" s="28"/>
      <c r="H269" s="24" t="s">
        <v>172</v>
      </c>
      <c r="I269" s="24" t="s">
        <v>172</v>
      </c>
      <c r="J269" s="28">
        <v>1</v>
      </c>
      <c r="K269" s="28"/>
      <c r="L269" s="41" t="s">
        <v>665</v>
      </c>
      <c r="M269" s="46"/>
    </row>
    <row r="270" ht="18.75" spans="2:13">
      <c r="B270" s="28">
        <f t="shared" si="5"/>
        <v>1548</v>
      </c>
      <c r="C270" s="28">
        <v>1</v>
      </c>
      <c r="D270" s="28" t="s">
        <v>666</v>
      </c>
      <c r="E270" s="41" t="s">
        <v>667</v>
      </c>
      <c r="F270" s="28" t="s">
        <v>109</v>
      </c>
      <c r="G270" s="28"/>
      <c r="H270" s="24" t="s">
        <v>172</v>
      </c>
      <c r="I270" s="24" t="s">
        <v>172</v>
      </c>
      <c r="J270" s="28">
        <v>1</v>
      </c>
      <c r="K270" s="28"/>
      <c r="L270" s="41" t="s">
        <v>668</v>
      </c>
      <c r="M270" s="46"/>
    </row>
    <row r="271" ht="18.75" spans="2:13">
      <c r="B271" s="28">
        <f t="shared" si="5"/>
        <v>1549</v>
      </c>
      <c r="C271" s="28">
        <v>1</v>
      </c>
      <c r="D271" s="28" t="s">
        <v>669</v>
      </c>
      <c r="E271" s="41" t="s">
        <v>670</v>
      </c>
      <c r="F271" s="28" t="s">
        <v>109</v>
      </c>
      <c r="G271" s="28"/>
      <c r="H271" s="24" t="s">
        <v>172</v>
      </c>
      <c r="I271" s="24" t="s">
        <v>172</v>
      </c>
      <c r="J271" s="28">
        <v>1</v>
      </c>
      <c r="K271" s="28"/>
      <c r="L271" s="41" t="s">
        <v>671</v>
      </c>
      <c r="M271" s="46"/>
    </row>
    <row r="272" ht="18.75" spans="2:13">
      <c r="B272" s="28">
        <f t="shared" si="5"/>
        <v>1550</v>
      </c>
      <c r="C272" s="28">
        <v>1</v>
      </c>
      <c r="D272" s="28" t="s">
        <v>672</v>
      </c>
      <c r="E272" s="41" t="s">
        <v>673</v>
      </c>
      <c r="F272" s="28" t="s">
        <v>109</v>
      </c>
      <c r="G272" s="28"/>
      <c r="H272" s="24" t="s">
        <v>172</v>
      </c>
      <c r="I272" s="24" t="s">
        <v>172</v>
      </c>
      <c r="J272" s="28">
        <v>1</v>
      </c>
      <c r="K272" s="28"/>
      <c r="L272" s="41" t="s">
        <v>674</v>
      </c>
      <c r="M272" s="46"/>
    </row>
    <row r="273" ht="18.75" spans="2:13">
      <c r="B273" s="28">
        <f t="shared" si="5"/>
        <v>1551</v>
      </c>
      <c r="C273" s="28">
        <v>1</v>
      </c>
      <c r="D273" s="28" t="s">
        <v>675</v>
      </c>
      <c r="E273" s="41" t="s">
        <v>676</v>
      </c>
      <c r="F273" s="28" t="s">
        <v>109</v>
      </c>
      <c r="G273" s="28"/>
      <c r="H273" s="24" t="s">
        <v>172</v>
      </c>
      <c r="I273" s="24" t="s">
        <v>172</v>
      </c>
      <c r="J273" s="28">
        <v>1</v>
      </c>
      <c r="K273" s="28"/>
      <c r="L273" s="28"/>
      <c r="M273" s="46"/>
    </row>
    <row r="274" ht="18.75" spans="2:13">
      <c r="B274" s="28">
        <f t="shared" si="5"/>
        <v>1552</v>
      </c>
      <c r="C274" s="28">
        <v>1</v>
      </c>
      <c r="D274" s="28" t="s">
        <v>677</v>
      </c>
      <c r="E274" s="41" t="s">
        <v>678</v>
      </c>
      <c r="F274" s="28" t="s">
        <v>109</v>
      </c>
      <c r="G274" s="28"/>
      <c r="H274" s="24" t="s">
        <v>172</v>
      </c>
      <c r="I274" s="24" t="s">
        <v>172</v>
      </c>
      <c r="J274" s="28">
        <v>1</v>
      </c>
      <c r="K274" s="28"/>
      <c r="L274" s="28"/>
      <c r="M274" s="46"/>
    </row>
    <row r="275" ht="18.75" spans="2:13">
      <c r="B275" s="28">
        <f t="shared" si="5"/>
        <v>1553</v>
      </c>
      <c r="C275" s="28">
        <v>1</v>
      </c>
      <c r="D275" s="28" t="s">
        <v>679</v>
      </c>
      <c r="E275" s="41" t="s">
        <v>680</v>
      </c>
      <c r="F275" s="28" t="s">
        <v>109</v>
      </c>
      <c r="G275" s="28"/>
      <c r="H275" s="24" t="s">
        <v>172</v>
      </c>
      <c r="I275" s="24" t="s">
        <v>172</v>
      </c>
      <c r="J275" s="28">
        <v>1</v>
      </c>
      <c r="K275" s="28"/>
      <c r="L275" s="28"/>
      <c r="M275" s="46"/>
    </row>
    <row r="276" ht="37.5" spans="2:13">
      <c r="B276" s="28">
        <f t="shared" si="5"/>
        <v>1554</v>
      </c>
      <c r="C276" s="28">
        <v>1</v>
      </c>
      <c r="D276" s="28" t="s">
        <v>681</v>
      </c>
      <c r="E276" s="41" t="s">
        <v>682</v>
      </c>
      <c r="F276" s="28" t="s">
        <v>109</v>
      </c>
      <c r="G276" s="28"/>
      <c r="H276" s="24" t="s">
        <v>230</v>
      </c>
      <c r="I276" s="24" t="s">
        <v>230</v>
      </c>
      <c r="J276" s="28">
        <v>1</v>
      </c>
      <c r="K276" s="28"/>
      <c r="L276" s="28"/>
      <c r="M276" s="46"/>
    </row>
    <row r="277" ht="37.5" spans="2:13">
      <c r="B277" s="28">
        <f t="shared" si="5"/>
        <v>1555</v>
      </c>
      <c r="C277" s="28">
        <v>1</v>
      </c>
      <c r="D277" s="28" t="s">
        <v>683</v>
      </c>
      <c r="E277" s="41" t="s">
        <v>684</v>
      </c>
      <c r="F277" s="28" t="s">
        <v>109</v>
      </c>
      <c r="G277" s="28"/>
      <c r="H277" s="24" t="s">
        <v>230</v>
      </c>
      <c r="I277" s="24" t="s">
        <v>230</v>
      </c>
      <c r="J277" s="28">
        <v>1</v>
      </c>
      <c r="K277" s="28"/>
      <c r="L277" s="28"/>
      <c r="M277" s="46"/>
    </row>
    <row r="278" ht="18.75" spans="2:13">
      <c r="B278" s="28">
        <f t="shared" si="5"/>
        <v>1556</v>
      </c>
      <c r="C278" s="28">
        <v>1</v>
      </c>
      <c r="D278" s="28" t="s">
        <v>685</v>
      </c>
      <c r="E278" s="41" t="s">
        <v>686</v>
      </c>
      <c r="F278" s="28" t="s">
        <v>109</v>
      </c>
      <c r="G278" s="28"/>
      <c r="H278" s="24" t="s">
        <v>230</v>
      </c>
      <c r="I278" s="24" t="s">
        <v>230</v>
      </c>
      <c r="J278" s="28">
        <v>1</v>
      </c>
      <c r="K278" s="28"/>
      <c r="L278" s="41" t="s">
        <v>687</v>
      </c>
      <c r="M278" s="46"/>
    </row>
    <row r="279" ht="37.5" spans="2:13">
      <c r="B279" s="28">
        <f t="shared" si="5"/>
        <v>1557</v>
      </c>
      <c r="C279" s="28">
        <v>1</v>
      </c>
      <c r="D279" s="28" t="s">
        <v>688</v>
      </c>
      <c r="E279" s="41" t="s">
        <v>689</v>
      </c>
      <c r="F279" s="28" t="s">
        <v>109</v>
      </c>
      <c r="G279" s="28"/>
      <c r="H279" s="24" t="s">
        <v>172</v>
      </c>
      <c r="I279" s="24" t="s">
        <v>172</v>
      </c>
      <c r="J279" s="28">
        <v>1</v>
      </c>
      <c r="K279" s="49"/>
      <c r="L279" s="50" t="s">
        <v>690</v>
      </c>
      <c r="M279" s="46"/>
    </row>
    <row r="280" ht="37.5" spans="2:13">
      <c r="B280" s="28">
        <f t="shared" si="5"/>
        <v>1558</v>
      </c>
      <c r="C280" s="28">
        <v>1</v>
      </c>
      <c r="D280" s="28" t="s">
        <v>691</v>
      </c>
      <c r="E280" s="41" t="s">
        <v>692</v>
      </c>
      <c r="F280" s="28" t="s">
        <v>109</v>
      </c>
      <c r="G280" s="28"/>
      <c r="H280" s="24" t="s">
        <v>172</v>
      </c>
      <c r="I280" s="24" t="s">
        <v>172</v>
      </c>
      <c r="J280" s="28">
        <v>1</v>
      </c>
      <c r="K280" s="49"/>
      <c r="L280" s="50"/>
      <c r="M280" s="46"/>
    </row>
    <row r="281" ht="37.5" spans="2:13">
      <c r="B281" s="28">
        <f t="shared" si="5"/>
        <v>1559</v>
      </c>
      <c r="C281" s="28">
        <v>1</v>
      </c>
      <c r="D281" s="28" t="s">
        <v>693</v>
      </c>
      <c r="E281" s="41" t="s">
        <v>694</v>
      </c>
      <c r="F281" s="28" t="s">
        <v>109</v>
      </c>
      <c r="G281" s="28"/>
      <c r="H281" s="24" t="s">
        <v>172</v>
      </c>
      <c r="I281" s="24" t="s">
        <v>172</v>
      </c>
      <c r="J281" s="28">
        <v>1</v>
      </c>
      <c r="K281" s="49"/>
      <c r="L281" s="50"/>
      <c r="M281" s="46"/>
    </row>
    <row r="282" ht="37.5" spans="2:13">
      <c r="B282" s="28">
        <f t="shared" si="5"/>
        <v>1560</v>
      </c>
      <c r="C282" s="28">
        <v>1</v>
      </c>
      <c r="D282" s="28" t="s">
        <v>695</v>
      </c>
      <c r="E282" s="41" t="s">
        <v>696</v>
      </c>
      <c r="F282" s="28" t="s">
        <v>109</v>
      </c>
      <c r="G282" s="28"/>
      <c r="H282" s="24" t="s">
        <v>172</v>
      </c>
      <c r="I282" s="24" t="s">
        <v>172</v>
      </c>
      <c r="J282" s="28">
        <v>1</v>
      </c>
      <c r="K282" s="49"/>
      <c r="L282" s="50"/>
      <c r="M282" s="46"/>
    </row>
    <row r="283" ht="37.5" spans="2:13">
      <c r="B283" s="28">
        <f t="shared" si="5"/>
        <v>1561</v>
      </c>
      <c r="C283" s="28">
        <v>1</v>
      </c>
      <c r="D283" s="28" t="s">
        <v>697</v>
      </c>
      <c r="E283" s="41" t="s">
        <v>698</v>
      </c>
      <c r="F283" s="28" t="s">
        <v>109</v>
      </c>
      <c r="G283" s="28"/>
      <c r="H283" s="24" t="s">
        <v>172</v>
      </c>
      <c r="I283" s="24" t="s">
        <v>172</v>
      </c>
      <c r="J283" s="28">
        <v>1</v>
      </c>
      <c r="K283" s="49"/>
      <c r="L283" s="50"/>
      <c r="M283" s="46"/>
    </row>
    <row r="284" ht="37.5" spans="2:13">
      <c r="B284" s="28">
        <f t="shared" si="5"/>
        <v>1562</v>
      </c>
      <c r="C284" s="28">
        <v>1</v>
      </c>
      <c r="D284" s="28" t="s">
        <v>699</v>
      </c>
      <c r="E284" s="41" t="s">
        <v>700</v>
      </c>
      <c r="F284" s="28" t="s">
        <v>109</v>
      </c>
      <c r="G284" s="28"/>
      <c r="H284" s="24" t="s">
        <v>172</v>
      </c>
      <c r="I284" s="24" t="s">
        <v>172</v>
      </c>
      <c r="J284" s="28">
        <v>1</v>
      </c>
      <c r="K284" s="49"/>
      <c r="L284" s="51"/>
      <c r="M284" s="46"/>
    </row>
    <row r="285" ht="75" spans="2:13">
      <c r="B285" s="28">
        <f t="shared" si="5"/>
        <v>1563</v>
      </c>
      <c r="C285" s="28">
        <v>2</v>
      </c>
      <c r="D285" s="28" t="s">
        <v>701</v>
      </c>
      <c r="E285" s="41" t="s">
        <v>702</v>
      </c>
      <c r="F285" s="28" t="s">
        <v>109</v>
      </c>
      <c r="G285" s="28"/>
      <c r="H285" s="24" t="s">
        <v>450</v>
      </c>
      <c r="I285" s="24" t="s">
        <v>450</v>
      </c>
      <c r="J285" s="28">
        <v>1</v>
      </c>
      <c r="K285" s="28"/>
      <c r="L285" s="41" t="s">
        <v>703</v>
      </c>
      <c r="M285" s="47" t="s">
        <v>704</v>
      </c>
    </row>
    <row r="286" ht="75" spans="2:13">
      <c r="B286" s="28">
        <f t="shared" ref="B286:B351" si="6">B285+C285</f>
        <v>1565</v>
      </c>
      <c r="C286" s="28">
        <v>2</v>
      </c>
      <c r="D286" s="28" t="s">
        <v>705</v>
      </c>
      <c r="E286" s="41" t="s">
        <v>706</v>
      </c>
      <c r="F286" s="28" t="s">
        <v>109</v>
      </c>
      <c r="G286" s="28"/>
      <c r="H286" s="24" t="s">
        <v>450</v>
      </c>
      <c r="I286" s="24" t="s">
        <v>450</v>
      </c>
      <c r="J286" s="28">
        <v>1</v>
      </c>
      <c r="K286" s="28"/>
      <c r="L286" s="41" t="s">
        <v>703</v>
      </c>
      <c r="M286" s="47" t="s">
        <v>704</v>
      </c>
    </row>
    <row r="287" ht="75" spans="2:13">
      <c r="B287" s="28">
        <f t="shared" si="6"/>
        <v>1567</v>
      </c>
      <c r="C287" s="28">
        <v>2</v>
      </c>
      <c r="D287" s="28" t="s">
        <v>707</v>
      </c>
      <c r="E287" s="41" t="s">
        <v>708</v>
      </c>
      <c r="F287" s="28" t="s">
        <v>109</v>
      </c>
      <c r="G287" s="28"/>
      <c r="H287" s="24" t="s">
        <v>450</v>
      </c>
      <c r="I287" s="24" t="s">
        <v>450</v>
      </c>
      <c r="J287" s="28">
        <v>1</v>
      </c>
      <c r="K287" s="28"/>
      <c r="L287" s="41" t="s">
        <v>703</v>
      </c>
      <c r="M287" s="47" t="s">
        <v>704</v>
      </c>
    </row>
    <row r="288" ht="18.75" spans="2:13">
      <c r="B288" s="39" t="s">
        <v>709</v>
      </c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6"/>
    </row>
    <row r="289" ht="18.75" spans="2:13">
      <c r="B289" s="28">
        <v>1920</v>
      </c>
      <c r="C289" s="28">
        <v>2</v>
      </c>
      <c r="D289" s="28" t="s">
        <v>254</v>
      </c>
      <c r="E289" s="41" t="s">
        <v>255</v>
      </c>
      <c r="F289" s="28" t="s">
        <v>109</v>
      </c>
      <c r="G289" s="28" t="s">
        <v>256</v>
      </c>
      <c r="H289" s="24" t="s">
        <v>182</v>
      </c>
      <c r="I289" s="21" t="s">
        <v>179</v>
      </c>
      <c r="J289" s="25">
        <v>0.001</v>
      </c>
      <c r="K289" s="25"/>
      <c r="L289" s="25"/>
      <c r="M289" s="46"/>
    </row>
    <row r="290" ht="18.75" spans="2:13">
      <c r="B290" s="28">
        <f t="shared" si="6"/>
        <v>1922</v>
      </c>
      <c r="C290" s="28">
        <v>2</v>
      </c>
      <c r="D290" s="28" t="s">
        <v>257</v>
      </c>
      <c r="E290" s="41" t="s">
        <v>258</v>
      </c>
      <c r="F290" s="28" t="s">
        <v>109</v>
      </c>
      <c r="G290" s="28" t="s">
        <v>256</v>
      </c>
      <c r="H290" s="24" t="s">
        <v>182</v>
      </c>
      <c r="I290" s="21" t="s">
        <v>179</v>
      </c>
      <c r="J290" s="25">
        <v>0.001</v>
      </c>
      <c r="K290" s="25"/>
      <c r="L290" s="25"/>
      <c r="M290" s="46"/>
    </row>
    <row r="291" ht="18.75" spans="2:13">
      <c r="B291" s="28">
        <f t="shared" si="6"/>
        <v>1924</v>
      </c>
      <c r="C291" s="28">
        <v>2</v>
      </c>
      <c r="D291" s="28" t="s">
        <v>259</v>
      </c>
      <c r="E291" s="41" t="s">
        <v>260</v>
      </c>
      <c r="F291" s="28" t="s">
        <v>109</v>
      </c>
      <c r="G291" s="28" t="s">
        <v>256</v>
      </c>
      <c r="H291" s="24" t="s">
        <v>182</v>
      </c>
      <c r="I291" s="21" t="s">
        <v>179</v>
      </c>
      <c r="J291" s="25">
        <v>0.001</v>
      </c>
      <c r="K291" s="25"/>
      <c r="L291" s="25"/>
      <c r="M291" s="46"/>
    </row>
    <row r="292" ht="18.75" spans="2:13">
      <c r="B292" s="28">
        <f t="shared" si="6"/>
        <v>1926</v>
      </c>
      <c r="C292" s="28">
        <v>2</v>
      </c>
      <c r="D292" s="28" t="s">
        <v>261</v>
      </c>
      <c r="E292" s="41" t="s">
        <v>262</v>
      </c>
      <c r="F292" s="28" t="s">
        <v>109</v>
      </c>
      <c r="G292" s="28" t="s">
        <v>263</v>
      </c>
      <c r="H292" s="24" t="s">
        <v>182</v>
      </c>
      <c r="I292" s="21" t="s">
        <v>179</v>
      </c>
      <c r="J292" s="25">
        <v>0.001</v>
      </c>
      <c r="K292" s="25"/>
      <c r="L292" s="25"/>
      <c r="M292" s="46"/>
    </row>
    <row r="293" ht="18.75" spans="2:13">
      <c r="B293" s="28">
        <f t="shared" si="6"/>
        <v>1928</v>
      </c>
      <c r="C293" s="28">
        <v>2</v>
      </c>
      <c r="D293" s="28" t="s">
        <v>264</v>
      </c>
      <c r="E293" s="41" t="s">
        <v>265</v>
      </c>
      <c r="F293" s="28" t="s">
        <v>109</v>
      </c>
      <c r="G293" s="28" t="s">
        <v>263</v>
      </c>
      <c r="H293" s="24" t="s">
        <v>182</v>
      </c>
      <c r="I293" s="21" t="s">
        <v>179</v>
      </c>
      <c r="J293" s="25">
        <v>0.001</v>
      </c>
      <c r="K293" s="25"/>
      <c r="L293" s="25"/>
      <c r="M293" s="46"/>
    </row>
    <row r="294" ht="18.75" spans="2:13">
      <c r="B294" s="28">
        <f t="shared" si="6"/>
        <v>1930</v>
      </c>
      <c r="C294" s="28">
        <v>2</v>
      </c>
      <c r="D294" s="28" t="s">
        <v>266</v>
      </c>
      <c r="E294" s="41" t="s">
        <v>267</v>
      </c>
      <c r="F294" s="28" t="s">
        <v>109</v>
      </c>
      <c r="G294" s="28" t="s">
        <v>263</v>
      </c>
      <c r="H294" s="24" t="s">
        <v>182</v>
      </c>
      <c r="I294" s="21" t="s">
        <v>179</v>
      </c>
      <c r="J294" s="25">
        <v>0.001</v>
      </c>
      <c r="K294" s="25"/>
      <c r="L294" s="25"/>
      <c r="M294" s="46"/>
    </row>
    <row r="295" ht="18.75" spans="2:13">
      <c r="B295" s="28">
        <f t="shared" si="6"/>
        <v>1932</v>
      </c>
      <c r="C295" s="28">
        <v>2</v>
      </c>
      <c r="D295" s="28" t="s">
        <v>268</v>
      </c>
      <c r="E295" s="41" t="s">
        <v>269</v>
      </c>
      <c r="F295" s="28" t="s">
        <v>109</v>
      </c>
      <c r="G295" s="28" t="s">
        <v>270</v>
      </c>
      <c r="H295" s="24" t="s">
        <v>182</v>
      </c>
      <c r="I295" s="21" t="s">
        <v>179</v>
      </c>
      <c r="J295" s="25">
        <v>0.001</v>
      </c>
      <c r="K295" s="25"/>
      <c r="L295" s="25"/>
      <c r="M295" s="46"/>
    </row>
    <row r="296" ht="18.75" spans="2:13">
      <c r="B296" s="28">
        <f t="shared" si="6"/>
        <v>1934</v>
      </c>
      <c r="C296" s="28">
        <v>2</v>
      </c>
      <c r="D296" s="28" t="s">
        <v>271</v>
      </c>
      <c r="E296" s="41" t="s">
        <v>272</v>
      </c>
      <c r="F296" s="28" t="s">
        <v>109</v>
      </c>
      <c r="G296" s="28" t="s">
        <v>270</v>
      </c>
      <c r="H296" s="24" t="s">
        <v>182</v>
      </c>
      <c r="I296" s="21" t="s">
        <v>179</v>
      </c>
      <c r="J296" s="25">
        <v>0.001</v>
      </c>
      <c r="K296" s="25"/>
      <c r="L296" s="25"/>
      <c r="M296" s="46"/>
    </row>
    <row r="297" ht="18.75" spans="2:13">
      <c r="B297" s="28">
        <f t="shared" si="6"/>
        <v>1936</v>
      </c>
      <c r="C297" s="28">
        <v>2</v>
      </c>
      <c r="D297" s="28" t="s">
        <v>273</v>
      </c>
      <c r="E297" s="41" t="s">
        <v>274</v>
      </c>
      <c r="F297" s="28" t="s">
        <v>109</v>
      </c>
      <c r="G297" s="28" t="s">
        <v>270</v>
      </c>
      <c r="H297" s="24" t="s">
        <v>182</v>
      </c>
      <c r="I297" s="21" t="s">
        <v>179</v>
      </c>
      <c r="J297" s="25">
        <v>0.001</v>
      </c>
      <c r="K297" s="25"/>
      <c r="L297" s="25"/>
      <c r="M297" s="46"/>
    </row>
    <row r="298" ht="18.75" spans="2:13">
      <c r="B298" s="28">
        <f t="shared" si="6"/>
        <v>1938</v>
      </c>
      <c r="C298" s="28">
        <v>2</v>
      </c>
      <c r="D298" s="28" t="s">
        <v>275</v>
      </c>
      <c r="E298" s="41" t="s">
        <v>276</v>
      </c>
      <c r="F298" s="28" t="s">
        <v>109</v>
      </c>
      <c r="G298" s="28" t="s">
        <v>277</v>
      </c>
      <c r="H298" s="24" t="s">
        <v>182</v>
      </c>
      <c r="I298" s="21" t="s">
        <v>179</v>
      </c>
      <c r="J298" s="25">
        <v>0.001</v>
      </c>
      <c r="K298" s="25"/>
      <c r="L298" s="25"/>
      <c r="M298" s="46"/>
    </row>
    <row r="299" ht="18.75" spans="2:13">
      <c r="B299" s="28">
        <f t="shared" si="6"/>
        <v>1940</v>
      </c>
      <c r="C299" s="28">
        <v>2</v>
      </c>
      <c r="D299" s="28" t="s">
        <v>278</v>
      </c>
      <c r="E299" s="41" t="s">
        <v>279</v>
      </c>
      <c r="F299" s="28" t="s">
        <v>109</v>
      </c>
      <c r="G299" s="28" t="s">
        <v>277</v>
      </c>
      <c r="H299" s="24" t="s">
        <v>182</v>
      </c>
      <c r="I299" s="21" t="s">
        <v>179</v>
      </c>
      <c r="J299" s="25">
        <v>0.001</v>
      </c>
      <c r="K299" s="25"/>
      <c r="L299" s="25"/>
      <c r="M299" s="46"/>
    </row>
    <row r="300" ht="18.75" spans="2:13">
      <c r="B300" s="28">
        <f t="shared" si="6"/>
        <v>1942</v>
      </c>
      <c r="C300" s="28">
        <v>2</v>
      </c>
      <c r="D300" s="28" t="s">
        <v>280</v>
      </c>
      <c r="E300" s="41" t="s">
        <v>281</v>
      </c>
      <c r="F300" s="28" t="s">
        <v>109</v>
      </c>
      <c r="G300" s="28" t="s">
        <v>277</v>
      </c>
      <c r="H300" s="24" t="s">
        <v>182</v>
      </c>
      <c r="I300" s="21" t="s">
        <v>179</v>
      </c>
      <c r="J300" s="25">
        <v>0.001</v>
      </c>
      <c r="K300" s="25"/>
      <c r="L300" s="25"/>
      <c r="M300" s="46"/>
    </row>
    <row r="301" ht="18.75" spans="2:13">
      <c r="B301" s="28">
        <f t="shared" si="6"/>
        <v>1944</v>
      </c>
      <c r="C301" s="28">
        <v>2</v>
      </c>
      <c r="D301" s="28" t="s">
        <v>282</v>
      </c>
      <c r="E301" s="41" t="s">
        <v>283</v>
      </c>
      <c r="F301" s="28" t="s">
        <v>109</v>
      </c>
      <c r="G301" s="28" t="s">
        <v>284</v>
      </c>
      <c r="H301" s="24" t="s">
        <v>182</v>
      </c>
      <c r="I301" s="21" t="s">
        <v>179</v>
      </c>
      <c r="J301" s="25">
        <v>1</v>
      </c>
      <c r="K301" s="25"/>
      <c r="L301" s="25"/>
      <c r="M301" s="46"/>
    </row>
    <row r="302" ht="18.75" spans="2:13">
      <c r="B302" s="28">
        <f t="shared" si="6"/>
        <v>1946</v>
      </c>
      <c r="C302" s="28">
        <v>2</v>
      </c>
      <c r="D302" s="28" t="s">
        <v>285</v>
      </c>
      <c r="E302" s="41" t="s">
        <v>286</v>
      </c>
      <c r="F302" s="28" t="s">
        <v>109</v>
      </c>
      <c r="G302" s="28" t="s">
        <v>284</v>
      </c>
      <c r="H302" s="24" t="s">
        <v>182</v>
      </c>
      <c r="I302" s="21" t="s">
        <v>179</v>
      </c>
      <c r="J302" s="25">
        <v>1</v>
      </c>
      <c r="K302" s="25"/>
      <c r="L302" s="25"/>
      <c r="M302" s="46"/>
    </row>
    <row r="303" ht="18.75" spans="2:13">
      <c r="B303" s="28">
        <f t="shared" si="6"/>
        <v>1948</v>
      </c>
      <c r="C303" s="28">
        <v>2</v>
      </c>
      <c r="D303" s="28" t="s">
        <v>287</v>
      </c>
      <c r="E303" s="41" t="s">
        <v>288</v>
      </c>
      <c r="F303" s="28" t="s">
        <v>109</v>
      </c>
      <c r="G303" s="28" t="s">
        <v>284</v>
      </c>
      <c r="H303" s="24" t="s">
        <v>182</v>
      </c>
      <c r="I303" s="21" t="s">
        <v>179</v>
      </c>
      <c r="J303" s="25">
        <v>1</v>
      </c>
      <c r="K303" s="25"/>
      <c r="L303" s="25"/>
      <c r="M303" s="46"/>
    </row>
    <row r="304" ht="18.75" spans="2:13">
      <c r="B304" s="28">
        <f t="shared" si="6"/>
        <v>1950</v>
      </c>
      <c r="C304" s="28">
        <v>2</v>
      </c>
      <c r="D304" s="28" t="s">
        <v>289</v>
      </c>
      <c r="E304" s="41" t="s">
        <v>290</v>
      </c>
      <c r="F304" s="28" t="s">
        <v>109</v>
      </c>
      <c r="G304" s="28"/>
      <c r="H304" s="24" t="s">
        <v>182</v>
      </c>
      <c r="I304" s="21" t="s">
        <v>179</v>
      </c>
      <c r="J304" s="25">
        <v>0.001</v>
      </c>
      <c r="K304" s="25"/>
      <c r="L304" s="25"/>
      <c r="M304" s="46"/>
    </row>
    <row r="305" ht="18.75" spans="2:13">
      <c r="B305" s="28">
        <f t="shared" si="6"/>
        <v>1952</v>
      </c>
      <c r="C305" s="28">
        <v>2</v>
      </c>
      <c r="D305" s="28" t="s">
        <v>291</v>
      </c>
      <c r="E305" s="41" t="s">
        <v>292</v>
      </c>
      <c r="F305" s="28" t="s">
        <v>109</v>
      </c>
      <c r="G305" s="28"/>
      <c r="H305" s="24" t="s">
        <v>182</v>
      </c>
      <c r="I305" s="21" t="s">
        <v>179</v>
      </c>
      <c r="J305" s="25">
        <v>0.001</v>
      </c>
      <c r="K305" s="25"/>
      <c r="L305" s="25"/>
      <c r="M305" s="46"/>
    </row>
    <row r="306" ht="18.75" spans="2:13">
      <c r="B306" s="28">
        <f t="shared" si="6"/>
        <v>1954</v>
      </c>
      <c r="C306" s="28">
        <v>2</v>
      </c>
      <c r="D306" s="28" t="s">
        <v>293</v>
      </c>
      <c r="E306" s="41" t="s">
        <v>294</v>
      </c>
      <c r="F306" s="28" t="s">
        <v>109</v>
      </c>
      <c r="G306" s="28"/>
      <c r="H306" s="24" t="s">
        <v>182</v>
      </c>
      <c r="I306" s="21" t="s">
        <v>179</v>
      </c>
      <c r="J306" s="25">
        <v>0.001</v>
      </c>
      <c r="K306" s="25"/>
      <c r="L306" s="25"/>
      <c r="M306" s="46"/>
    </row>
    <row r="307" ht="18.75" spans="2:13">
      <c r="B307" s="28">
        <f t="shared" si="6"/>
        <v>1956</v>
      </c>
      <c r="C307" s="28">
        <v>2</v>
      </c>
      <c r="D307" s="28" t="s">
        <v>295</v>
      </c>
      <c r="E307" s="41" t="s">
        <v>296</v>
      </c>
      <c r="F307" s="28" t="s">
        <v>109</v>
      </c>
      <c r="G307" s="28"/>
      <c r="H307" s="24" t="s">
        <v>182</v>
      </c>
      <c r="I307" s="21" t="s">
        <v>179</v>
      </c>
      <c r="J307" s="25">
        <v>1</v>
      </c>
      <c r="K307" s="25"/>
      <c r="L307" s="25"/>
      <c r="M307" s="46"/>
    </row>
    <row r="308" ht="18.75" spans="2:13">
      <c r="B308" s="28">
        <f t="shared" si="6"/>
        <v>1958</v>
      </c>
      <c r="C308" s="28">
        <v>2</v>
      </c>
      <c r="D308" s="28" t="s">
        <v>297</v>
      </c>
      <c r="E308" s="41" t="s">
        <v>298</v>
      </c>
      <c r="F308" s="28" t="s">
        <v>109</v>
      </c>
      <c r="G308" s="28"/>
      <c r="H308" s="24" t="s">
        <v>182</v>
      </c>
      <c r="I308" s="21" t="s">
        <v>179</v>
      </c>
      <c r="J308" s="25">
        <v>1</v>
      </c>
      <c r="K308" s="25"/>
      <c r="L308" s="25"/>
      <c r="M308" s="46"/>
    </row>
    <row r="309" ht="18.75" spans="2:13">
      <c r="B309" s="28">
        <f t="shared" si="6"/>
        <v>1960</v>
      </c>
      <c r="C309" s="28">
        <v>2</v>
      </c>
      <c r="D309" s="28" t="s">
        <v>299</v>
      </c>
      <c r="E309" s="41" t="s">
        <v>300</v>
      </c>
      <c r="F309" s="28" t="s">
        <v>109</v>
      </c>
      <c r="G309" s="28"/>
      <c r="H309" s="24" t="s">
        <v>182</v>
      </c>
      <c r="I309" s="21" t="s">
        <v>179</v>
      </c>
      <c r="J309" s="25">
        <v>1</v>
      </c>
      <c r="K309" s="25"/>
      <c r="L309" s="25"/>
      <c r="M309" s="46"/>
    </row>
    <row r="310" ht="37.5" spans="2:13">
      <c r="B310" s="28">
        <f t="shared" si="6"/>
        <v>1962</v>
      </c>
      <c r="C310" s="28">
        <v>2</v>
      </c>
      <c r="D310" s="28" t="s">
        <v>301</v>
      </c>
      <c r="E310" s="41" t="s">
        <v>302</v>
      </c>
      <c r="F310" s="28" t="s">
        <v>109</v>
      </c>
      <c r="G310" s="28" t="s">
        <v>256</v>
      </c>
      <c r="H310" s="24" t="s">
        <v>182</v>
      </c>
      <c r="I310" s="21" t="s">
        <v>179</v>
      </c>
      <c r="J310" s="25">
        <v>0.001</v>
      </c>
      <c r="K310" s="25"/>
      <c r="L310" s="25"/>
      <c r="M310" s="46"/>
    </row>
    <row r="311" ht="18.75" spans="2:13">
      <c r="B311" s="28">
        <f t="shared" si="6"/>
        <v>1964</v>
      </c>
      <c r="C311" s="28">
        <v>2</v>
      </c>
      <c r="D311" s="28" t="s">
        <v>303</v>
      </c>
      <c r="E311" s="41" t="s">
        <v>304</v>
      </c>
      <c r="F311" s="28" t="s">
        <v>109</v>
      </c>
      <c r="G311" s="28" t="s">
        <v>263</v>
      </c>
      <c r="H311" s="24" t="s">
        <v>182</v>
      </c>
      <c r="I311" s="21" t="s">
        <v>179</v>
      </c>
      <c r="J311" s="25">
        <v>0.001</v>
      </c>
      <c r="K311" s="25"/>
      <c r="L311" s="25"/>
      <c r="M311" s="46"/>
    </row>
    <row r="312" ht="18.75" spans="2:13">
      <c r="B312" s="28">
        <f t="shared" si="6"/>
        <v>1966</v>
      </c>
      <c r="C312" s="28">
        <v>2</v>
      </c>
      <c r="D312" s="28" t="s">
        <v>305</v>
      </c>
      <c r="E312" s="41" t="s">
        <v>306</v>
      </c>
      <c r="F312" s="28" t="s">
        <v>109</v>
      </c>
      <c r="G312" s="28" t="s">
        <v>263</v>
      </c>
      <c r="H312" s="24" t="s">
        <v>182</v>
      </c>
      <c r="I312" s="21" t="s">
        <v>179</v>
      </c>
      <c r="J312" s="25">
        <v>0.001</v>
      </c>
      <c r="K312" s="25"/>
      <c r="L312" s="25"/>
      <c r="M312" s="46"/>
    </row>
    <row r="313" ht="18.75" spans="2:13">
      <c r="B313" s="28">
        <f t="shared" si="6"/>
        <v>1968</v>
      </c>
      <c r="C313" s="28">
        <v>2</v>
      </c>
      <c r="D313" s="28" t="s">
        <v>307</v>
      </c>
      <c r="E313" s="41" t="s">
        <v>308</v>
      </c>
      <c r="F313" s="28" t="s">
        <v>109</v>
      </c>
      <c r="G313" s="28" t="s">
        <v>270</v>
      </c>
      <c r="H313" s="24" t="s">
        <v>182</v>
      </c>
      <c r="I313" s="21" t="s">
        <v>179</v>
      </c>
      <c r="J313" s="25">
        <v>0.001</v>
      </c>
      <c r="K313" s="25"/>
      <c r="L313" s="25"/>
      <c r="M313" s="46"/>
    </row>
    <row r="314" ht="18.75" spans="2:13">
      <c r="B314" s="28">
        <f t="shared" si="6"/>
        <v>1970</v>
      </c>
      <c r="C314" s="28">
        <v>2</v>
      </c>
      <c r="D314" s="28" t="s">
        <v>309</v>
      </c>
      <c r="E314" s="41" t="s">
        <v>310</v>
      </c>
      <c r="F314" s="28" t="s">
        <v>109</v>
      </c>
      <c r="G314" s="28" t="s">
        <v>277</v>
      </c>
      <c r="H314" s="24" t="s">
        <v>182</v>
      </c>
      <c r="I314" s="21" t="s">
        <v>179</v>
      </c>
      <c r="J314" s="25">
        <v>0.001</v>
      </c>
      <c r="K314" s="25"/>
      <c r="L314" s="25"/>
      <c r="M314" s="46"/>
    </row>
    <row r="315" ht="18.75" spans="2:13">
      <c r="B315" s="28">
        <f t="shared" si="6"/>
        <v>1972</v>
      </c>
      <c r="C315" s="28">
        <v>2</v>
      </c>
      <c r="D315" s="28" t="s">
        <v>311</v>
      </c>
      <c r="E315" s="41" t="s">
        <v>312</v>
      </c>
      <c r="F315" s="28" t="s">
        <v>109</v>
      </c>
      <c r="G315" s="28" t="s">
        <v>284</v>
      </c>
      <c r="H315" s="24" t="s">
        <v>182</v>
      </c>
      <c r="I315" s="21" t="s">
        <v>179</v>
      </c>
      <c r="J315" s="25">
        <v>1</v>
      </c>
      <c r="K315" s="25"/>
      <c r="L315" s="25"/>
      <c r="M315" s="46"/>
    </row>
    <row r="316" ht="18.75" spans="2:13">
      <c r="B316" s="28">
        <f t="shared" si="6"/>
        <v>1974</v>
      </c>
      <c r="C316" s="28">
        <v>2</v>
      </c>
      <c r="D316" s="28" t="s">
        <v>313</v>
      </c>
      <c r="E316" s="41" t="s">
        <v>314</v>
      </c>
      <c r="F316" s="28" t="s">
        <v>109</v>
      </c>
      <c r="G316" s="28"/>
      <c r="H316" s="24" t="s">
        <v>182</v>
      </c>
      <c r="I316" s="21" t="s">
        <v>179</v>
      </c>
      <c r="J316" s="25">
        <v>0.001</v>
      </c>
      <c r="K316" s="25"/>
      <c r="L316" s="25"/>
      <c r="M316" s="46"/>
    </row>
    <row r="317" ht="18.75" spans="2:13">
      <c r="B317" s="28">
        <f t="shared" si="6"/>
        <v>1976</v>
      </c>
      <c r="C317" s="28">
        <v>2</v>
      </c>
      <c r="D317" s="28" t="s">
        <v>315</v>
      </c>
      <c r="E317" s="41" t="s">
        <v>316</v>
      </c>
      <c r="F317" s="28" t="s">
        <v>109</v>
      </c>
      <c r="G317" s="28"/>
      <c r="H317" s="24" t="s">
        <v>182</v>
      </c>
      <c r="I317" s="21" t="s">
        <v>179</v>
      </c>
      <c r="J317" s="25">
        <v>0.001</v>
      </c>
      <c r="K317" s="25"/>
      <c r="L317" s="25"/>
      <c r="M317" s="46"/>
    </row>
    <row r="318" ht="18.75" spans="2:13">
      <c r="B318" s="28">
        <f t="shared" si="6"/>
        <v>1978</v>
      </c>
      <c r="C318" s="28">
        <v>2</v>
      </c>
      <c r="D318" s="28" t="s">
        <v>317</v>
      </c>
      <c r="E318" s="41" t="s">
        <v>318</v>
      </c>
      <c r="F318" s="28" t="s">
        <v>109</v>
      </c>
      <c r="G318" s="28" t="s">
        <v>319</v>
      </c>
      <c r="H318" s="24" t="s">
        <v>182</v>
      </c>
      <c r="I318" s="21" t="s">
        <v>179</v>
      </c>
      <c r="J318" s="25">
        <v>0.001</v>
      </c>
      <c r="K318" s="25"/>
      <c r="L318" s="25"/>
      <c r="M318" s="46"/>
    </row>
    <row r="319" ht="18.75" spans="2:13">
      <c r="B319" s="28">
        <f t="shared" si="6"/>
        <v>1980</v>
      </c>
      <c r="C319" s="28">
        <v>2</v>
      </c>
      <c r="D319" s="28" t="s">
        <v>320</v>
      </c>
      <c r="E319" s="41" t="s">
        <v>321</v>
      </c>
      <c r="F319" s="28" t="s">
        <v>109</v>
      </c>
      <c r="G319" s="28"/>
      <c r="H319" s="24" t="s">
        <v>182</v>
      </c>
      <c r="I319" s="21" t="s">
        <v>179</v>
      </c>
      <c r="J319" s="25">
        <v>0.001</v>
      </c>
      <c r="K319" s="25"/>
      <c r="L319" s="25"/>
      <c r="M319" s="46"/>
    </row>
    <row r="320" ht="18.75" spans="2:13">
      <c r="B320" s="28">
        <f t="shared" si="6"/>
        <v>1982</v>
      </c>
      <c r="C320" s="28">
        <v>2</v>
      </c>
      <c r="D320" s="28" t="s">
        <v>322</v>
      </c>
      <c r="E320" s="41" t="s">
        <v>323</v>
      </c>
      <c r="F320" s="28" t="s">
        <v>109</v>
      </c>
      <c r="G320" s="28"/>
      <c r="H320" s="24" t="s">
        <v>182</v>
      </c>
      <c r="I320" s="21" t="s">
        <v>179</v>
      </c>
      <c r="J320" s="25">
        <v>0.001</v>
      </c>
      <c r="K320" s="25"/>
      <c r="L320" s="25"/>
      <c r="M320" s="46"/>
    </row>
    <row r="321" ht="18.75" spans="2:13">
      <c r="B321" s="28">
        <f t="shared" si="6"/>
        <v>1984</v>
      </c>
      <c r="C321" s="28">
        <v>2</v>
      </c>
      <c r="D321" s="28" t="s">
        <v>324</v>
      </c>
      <c r="E321" s="41" t="s">
        <v>325</v>
      </c>
      <c r="F321" s="28" t="s">
        <v>109</v>
      </c>
      <c r="G321" s="28" t="s">
        <v>284</v>
      </c>
      <c r="H321" s="24" t="s">
        <v>182</v>
      </c>
      <c r="I321" s="21" t="s">
        <v>179</v>
      </c>
      <c r="J321" s="25">
        <v>0.001</v>
      </c>
      <c r="K321" s="25"/>
      <c r="L321" s="25"/>
      <c r="M321" s="46"/>
    </row>
    <row r="322" ht="18.75" spans="2:13">
      <c r="B322" s="28">
        <f t="shared" si="6"/>
        <v>1986</v>
      </c>
      <c r="C322" s="28">
        <v>2</v>
      </c>
      <c r="D322" s="28" t="s">
        <v>326</v>
      </c>
      <c r="E322" s="41" t="s">
        <v>327</v>
      </c>
      <c r="F322" s="28" t="s">
        <v>109</v>
      </c>
      <c r="G322" s="28" t="s">
        <v>284</v>
      </c>
      <c r="H322" s="24" t="s">
        <v>182</v>
      </c>
      <c r="I322" s="21" t="s">
        <v>179</v>
      </c>
      <c r="J322" s="25">
        <v>0.001</v>
      </c>
      <c r="K322" s="25"/>
      <c r="L322" s="25"/>
      <c r="M322" s="46"/>
    </row>
    <row r="323" ht="18.75" spans="2:13">
      <c r="B323" s="28">
        <f t="shared" si="6"/>
        <v>1988</v>
      </c>
      <c r="C323" s="28">
        <v>2</v>
      </c>
      <c r="D323" s="28" t="s">
        <v>328</v>
      </c>
      <c r="E323" s="41" t="s">
        <v>329</v>
      </c>
      <c r="F323" s="28" t="s">
        <v>109</v>
      </c>
      <c r="G323" s="28"/>
      <c r="H323" s="24" t="s">
        <v>182</v>
      </c>
      <c r="I323" s="21" t="s">
        <v>179</v>
      </c>
      <c r="J323" s="25">
        <v>0.001</v>
      </c>
      <c r="K323" s="25"/>
      <c r="L323" s="25"/>
      <c r="M323" s="46"/>
    </row>
    <row r="324" ht="18.75" spans="2:13">
      <c r="B324" s="28">
        <f t="shared" si="6"/>
        <v>1990</v>
      </c>
      <c r="C324" s="28">
        <v>2</v>
      </c>
      <c r="D324" s="28" t="s">
        <v>330</v>
      </c>
      <c r="E324" s="41" t="s">
        <v>331</v>
      </c>
      <c r="F324" s="28" t="s">
        <v>109</v>
      </c>
      <c r="G324" s="28" t="s">
        <v>332</v>
      </c>
      <c r="H324" s="24" t="s">
        <v>182</v>
      </c>
      <c r="I324" s="21" t="s">
        <v>179</v>
      </c>
      <c r="J324" s="25">
        <v>0.001</v>
      </c>
      <c r="K324" s="25"/>
      <c r="L324" s="25"/>
      <c r="M324" s="46"/>
    </row>
    <row r="325" ht="37.5" spans="2:13">
      <c r="B325" s="28">
        <f t="shared" si="6"/>
        <v>1992</v>
      </c>
      <c r="C325" s="28">
        <v>2</v>
      </c>
      <c r="D325" s="28" t="s">
        <v>333</v>
      </c>
      <c r="E325" s="41" t="s">
        <v>334</v>
      </c>
      <c r="F325" s="28" t="s">
        <v>109</v>
      </c>
      <c r="G325" s="28" t="s">
        <v>270</v>
      </c>
      <c r="H325" s="24" t="s">
        <v>182</v>
      </c>
      <c r="I325" s="21" t="s">
        <v>179</v>
      </c>
      <c r="J325" s="25">
        <v>0.001</v>
      </c>
      <c r="K325" s="25"/>
      <c r="L325" s="25"/>
      <c r="M325" s="46"/>
    </row>
    <row r="326" ht="37.5" spans="2:13">
      <c r="B326" s="28">
        <f t="shared" si="6"/>
        <v>1994</v>
      </c>
      <c r="C326" s="28">
        <v>2</v>
      </c>
      <c r="D326" s="28" t="s">
        <v>335</v>
      </c>
      <c r="E326" s="41" t="s">
        <v>336</v>
      </c>
      <c r="F326" s="28" t="s">
        <v>109</v>
      </c>
      <c r="G326" s="28" t="s">
        <v>270</v>
      </c>
      <c r="H326" s="24" t="s">
        <v>182</v>
      </c>
      <c r="I326" s="21" t="s">
        <v>179</v>
      </c>
      <c r="J326" s="25">
        <v>0.001</v>
      </c>
      <c r="K326" s="25"/>
      <c r="L326" s="25"/>
      <c r="M326" s="46"/>
    </row>
    <row r="327" ht="37.5" spans="2:13">
      <c r="B327" s="28">
        <f t="shared" si="6"/>
        <v>1996</v>
      </c>
      <c r="C327" s="28">
        <v>2</v>
      </c>
      <c r="D327" s="28" t="s">
        <v>337</v>
      </c>
      <c r="E327" s="41" t="s">
        <v>338</v>
      </c>
      <c r="F327" s="28" t="s">
        <v>109</v>
      </c>
      <c r="G327" s="28" t="s">
        <v>277</v>
      </c>
      <c r="H327" s="24" t="s">
        <v>182</v>
      </c>
      <c r="I327" s="21" t="s">
        <v>179</v>
      </c>
      <c r="J327" s="25">
        <v>0.001</v>
      </c>
      <c r="K327" s="25"/>
      <c r="L327" s="25"/>
      <c r="M327" s="46"/>
    </row>
    <row r="328" ht="37.5" spans="2:13">
      <c r="B328" s="28">
        <f t="shared" si="6"/>
        <v>1998</v>
      </c>
      <c r="C328" s="28">
        <v>2</v>
      </c>
      <c r="D328" s="28" t="s">
        <v>339</v>
      </c>
      <c r="E328" s="41" t="s">
        <v>340</v>
      </c>
      <c r="F328" s="28" t="s">
        <v>109</v>
      </c>
      <c r="G328" s="28" t="s">
        <v>277</v>
      </c>
      <c r="H328" s="24" t="s">
        <v>182</v>
      </c>
      <c r="I328" s="21" t="s">
        <v>179</v>
      </c>
      <c r="J328" s="25">
        <v>0.001</v>
      </c>
      <c r="K328" s="25"/>
      <c r="L328" s="25"/>
      <c r="M328" s="46"/>
    </row>
    <row r="329" ht="37.5" spans="2:13">
      <c r="B329" s="28">
        <f t="shared" si="6"/>
        <v>2000</v>
      </c>
      <c r="C329" s="28">
        <v>2</v>
      </c>
      <c r="D329" s="28" t="s">
        <v>341</v>
      </c>
      <c r="E329" s="41" t="s">
        <v>342</v>
      </c>
      <c r="F329" s="28" t="s">
        <v>109</v>
      </c>
      <c r="G329" s="28" t="s">
        <v>263</v>
      </c>
      <c r="H329" s="24" t="s">
        <v>182</v>
      </c>
      <c r="I329" s="21" t="s">
        <v>179</v>
      </c>
      <c r="J329" s="25">
        <v>0.001</v>
      </c>
      <c r="K329" s="25"/>
      <c r="L329" s="25"/>
      <c r="M329" s="46"/>
    </row>
    <row r="330" ht="37.5" spans="2:13">
      <c r="B330" s="28">
        <f t="shared" si="6"/>
        <v>2002</v>
      </c>
      <c r="C330" s="28">
        <v>2</v>
      </c>
      <c r="D330" s="28" t="s">
        <v>343</v>
      </c>
      <c r="E330" s="41" t="s">
        <v>344</v>
      </c>
      <c r="F330" s="28" t="s">
        <v>109</v>
      </c>
      <c r="G330" s="28" t="s">
        <v>263</v>
      </c>
      <c r="H330" s="24" t="s">
        <v>182</v>
      </c>
      <c r="I330" s="21" t="s">
        <v>179</v>
      </c>
      <c r="J330" s="25">
        <v>0.001</v>
      </c>
      <c r="K330" s="25"/>
      <c r="L330" s="25"/>
      <c r="M330" s="46"/>
    </row>
    <row r="331" ht="37.5" spans="2:13">
      <c r="B331" s="28">
        <f t="shared" si="6"/>
        <v>2004</v>
      </c>
      <c r="C331" s="28">
        <v>2</v>
      </c>
      <c r="D331" s="28" t="s">
        <v>345</v>
      </c>
      <c r="E331" s="41" t="s">
        <v>346</v>
      </c>
      <c r="F331" s="28" t="s">
        <v>109</v>
      </c>
      <c r="G331" s="28" t="s">
        <v>284</v>
      </c>
      <c r="H331" s="24" t="s">
        <v>182</v>
      </c>
      <c r="I331" s="21" t="s">
        <v>179</v>
      </c>
      <c r="J331" s="25">
        <v>1</v>
      </c>
      <c r="K331" s="25"/>
      <c r="L331" s="25"/>
      <c r="M331" s="46"/>
    </row>
    <row r="332" ht="37.5" spans="2:13">
      <c r="B332" s="28">
        <f t="shared" si="6"/>
        <v>2006</v>
      </c>
      <c r="C332" s="28">
        <v>2</v>
      </c>
      <c r="D332" s="28" t="s">
        <v>347</v>
      </c>
      <c r="E332" s="41" t="s">
        <v>348</v>
      </c>
      <c r="F332" s="28" t="s">
        <v>109</v>
      </c>
      <c r="G332" s="28" t="s">
        <v>284</v>
      </c>
      <c r="H332" s="24" t="s">
        <v>182</v>
      </c>
      <c r="I332" s="21" t="s">
        <v>179</v>
      </c>
      <c r="J332" s="25">
        <v>1</v>
      </c>
      <c r="K332" s="25"/>
      <c r="L332" s="25"/>
      <c r="M332" s="46"/>
    </row>
    <row r="333" ht="18.75" spans="2:13">
      <c r="B333" s="28">
        <f t="shared" si="6"/>
        <v>2008</v>
      </c>
      <c r="C333" s="28">
        <v>2</v>
      </c>
      <c r="D333" s="28" t="s">
        <v>349</v>
      </c>
      <c r="E333" s="41" t="s">
        <v>350</v>
      </c>
      <c r="F333" s="28" t="s">
        <v>109</v>
      </c>
      <c r="G333" s="28" t="s">
        <v>256</v>
      </c>
      <c r="H333" s="24" t="s">
        <v>182</v>
      </c>
      <c r="I333" s="21" t="s">
        <v>179</v>
      </c>
      <c r="J333" s="25">
        <v>0.001</v>
      </c>
      <c r="K333" s="25"/>
      <c r="L333" s="25"/>
      <c r="M333" s="46"/>
    </row>
    <row r="334" ht="18.75" spans="2:13">
      <c r="B334" s="28">
        <f t="shared" si="6"/>
        <v>2010</v>
      </c>
      <c r="C334" s="28">
        <v>2</v>
      </c>
      <c r="D334" s="28" t="s">
        <v>351</v>
      </c>
      <c r="E334" s="41" t="s">
        <v>352</v>
      </c>
      <c r="F334" s="28" t="s">
        <v>109</v>
      </c>
      <c r="G334" s="28" t="s">
        <v>256</v>
      </c>
      <c r="H334" s="24" t="s">
        <v>182</v>
      </c>
      <c r="I334" s="21" t="s">
        <v>179</v>
      </c>
      <c r="J334" s="25">
        <v>0.001</v>
      </c>
      <c r="K334" s="25"/>
      <c r="L334" s="25"/>
      <c r="M334" s="46"/>
    </row>
    <row r="335" ht="18.75" spans="2:13">
      <c r="B335" s="28">
        <f t="shared" si="6"/>
        <v>2012</v>
      </c>
      <c r="C335" s="28">
        <v>2</v>
      </c>
      <c r="D335" s="28" t="s">
        <v>353</v>
      </c>
      <c r="E335" s="41" t="s">
        <v>354</v>
      </c>
      <c r="F335" s="28" t="s">
        <v>109</v>
      </c>
      <c r="G335" s="28" t="s">
        <v>256</v>
      </c>
      <c r="H335" s="24" t="s">
        <v>182</v>
      </c>
      <c r="I335" s="21" t="s">
        <v>179</v>
      </c>
      <c r="J335" s="25">
        <v>0.001</v>
      </c>
      <c r="K335" s="25"/>
      <c r="L335" s="25"/>
      <c r="M335" s="46"/>
    </row>
    <row r="336" ht="37.5" spans="2:13">
      <c r="B336" s="28">
        <f t="shared" si="6"/>
        <v>2014</v>
      </c>
      <c r="C336" s="28">
        <v>2</v>
      </c>
      <c r="D336" s="28" t="s">
        <v>355</v>
      </c>
      <c r="E336" s="41" t="s">
        <v>356</v>
      </c>
      <c r="F336" s="28" t="s">
        <v>109</v>
      </c>
      <c r="G336" s="28" t="s">
        <v>256</v>
      </c>
      <c r="H336" s="24" t="s">
        <v>182</v>
      </c>
      <c r="I336" s="21" t="s">
        <v>179</v>
      </c>
      <c r="J336" s="25">
        <v>0.001</v>
      </c>
      <c r="K336" s="25"/>
      <c r="L336" s="25"/>
      <c r="M336" s="46"/>
    </row>
    <row r="337" ht="18.75" spans="2:13">
      <c r="B337" s="28">
        <f t="shared" si="6"/>
        <v>2016</v>
      </c>
      <c r="C337" s="28">
        <v>2</v>
      </c>
      <c r="D337" s="28" t="s">
        <v>357</v>
      </c>
      <c r="E337" s="41" t="s">
        <v>358</v>
      </c>
      <c r="F337" s="28" t="s">
        <v>109</v>
      </c>
      <c r="G337" s="28" t="s">
        <v>263</v>
      </c>
      <c r="H337" s="24" t="s">
        <v>182</v>
      </c>
      <c r="I337" s="21" t="s">
        <v>179</v>
      </c>
      <c r="J337" s="25">
        <v>0.001</v>
      </c>
      <c r="K337" s="25"/>
      <c r="L337" s="25"/>
      <c r="M337" s="46"/>
    </row>
    <row r="338" ht="37.5" spans="2:13">
      <c r="B338" s="28">
        <f t="shared" si="6"/>
        <v>2018</v>
      </c>
      <c r="C338" s="28">
        <v>2</v>
      </c>
      <c r="D338" s="28" t="s">
        <v>359</v>
      </c>
      <c r="E338" s="41" t="s">
        <v>360</v>
      </c>
      <c r="F338" s="28" t="s">
        <v>109</v>
      </c>
      <c r="G338" s="28" t="s">
        <v>149</v>
      </c>
      <c r="H338" s="24" t="s">
        <v>182</v>
      </c>
      <c r="I338" s="21" t="s">
        <v>179</v>
      </c>
      <c r="J338" s="25">
        <v>0.001</v>
      </c>
      <c r="K338" s="25"/>
      <c r="L338" s="25"/>
      <c r="M338" s="46"/>
    </row>
    <row r="339" ht="37.5" spans="2:13">
      <c r="B339" s="28">
        <f t="shared" si="6"/>
        <v>2020</v>
      </c>
      <c r="C339" s="28">
        <v>2</v>
      </c>
      <c r="D339" s="28" t="s">
        <v>361</v>
      </c>
      <c r="E339" s="41" t="s">
        <v>362</v>
      </c>
      <c r="F339" s="28" t="s">
        <v>109</v>
      </c>
      <c r="G339" s="28" t="s">
        <v>149</v>
      </c>
      <c r="H339" s="24" t="s">
        <v>182</v>
      </c>
      <c r="I339" s="21" t="s">
        <v>179</v>
      </c>
      <c r="J339" s="25">
        <v>0.001</v>
      </c>
      <c r="K339" s="25"/>
      <c r="L339" s="25"/>
      <c r="M339" s="46"/>
    </row>
    <row r="340" ht="37.5" spans="2:13">
      <c r="B340" s="28">
        <f t="shared" si="6"/>
        <v>2022</v>
      </c>
      <c r="C340" s="28">
        <v>2</v>
      </c>
      <c r="D340" s="28" t="s">
        <v>363</v>
      </c>
      <c r="E340" s="41" t="s">
        <v>364</v>
      </c>
      <c r="F340" s="28" t="s">
        <v>109</v>
      </c>
      <c r="G340" s="28" t="s">
        <v>149</v>
      </c>
      <c r="H340" s="24" t="s">
        <v>182</v>
      </c>
      <c r="I340" s="21" t="s">
        <v>179</v>
      </c>
      <c r="J340" s="25">
        <v>0.001</v>
      </c>
      <c r="K340" s="25"/>
      <c r="L340" s="25"/>
      <c r="M340" s="46"/>
    </row>
    <row r="341" ht="37.5" spans="2:13">
      <c r="B341" s="28">
        <f t="shared" si="6"/>
        <v>2024</v>
      </c>
      <c r="C341" s="28">
        <v>2</v>
      </c>
      <c r="D341" s="28" t="s">
        <v>365</v>
      </c>
      <c r="E341" s="41" t="s">
        <v>366</v>
      </c>
      <c r="F341" s="28" t="s">
        <v>109</v>
      </c>
      <c r="G341" s="28" t="s">
        <v>149</v>
      </c>
      <c r="H341" s="24" t="s">
        <v>182</v>
      </c>
      <c r="I341" s="21" t="s">
        <v>179</v>
      </c>
      <c r="J341" s="25">
        <v>0.001</v>
      </c>
      <c r="K341" s="25"/>
      <c r="L341" s="25"/>
      <c r="M341" s="46"/>
    </row>
    <row r="342" ht="37.5" spans="2:13">
      <c r="B342" s="28">
        <f t="shared" si="6"/>
        <v>2026</v>
      </c>
      <c r="C342" s="28">
        <v>2</v>
      </c>
      <c r="D342" s="28" t="s">
        <v>367</v>
      </c>
      <c r="E342" s="41" t="s">
        <v>368</v>
      </c>
      <c r="F342" s="28" t="s">
        <v>109</v>
      </c>
      <c r="G342" s="28" t="s">
        <v>149</v>
      </c>
      <c r="H342" s="24" t="s">
        <v>182</v>
      </c>
      <c r="I342" s="21" t="s">
        <v>179</v>
      </c>
      <c r="J342" s="25">
        <v>0.001</v>
      </c>
      <c r="K342" s="25"/>
      <c r="L342" s="25"/>
      <c r="M342" s="46"/>
    </row>
    <row r="343" ht="37.5" spans="2:13">
      <c r="B343" s="28">
        <f t="shared" si="6"/>
        <v>2028</v>
      </c>
      <c r="C343" s="28">
        <v>2</v>
      </c>
      <c r="D343" s="28" t="s">
        <v>369</v>
      </c>
      <c r="E343" s="41" t="s">
        <v>370</v>
      </c>
      <c r="F343" s="28" t="s">
        <v>109</v>
      </c>
      <c r="G343" s="28" t="s">
        <v>149</v>
      </c>
      <c r="H343" s="24" t="s">
        <v>182</v>
      </c>
      <c r="I343" s="21" t="s">
        <v>179</v>
      </c>
      <c r="J343" s="25">
        <v>0.001</v>
      </c>
      <c r="K343" s="25"/>
      <c r="L343" s="25"/>
      <c r="M343" s="46"/>
    </row>
    <row r="344" ht="37.5" spans="2:13">
      <c r="B344" s="28">
        <f t="shared" si="6"/>
        <v>2030</v>
      </c>
      <c r="C344" s="28">
        <v>2</v>
      </c>
      <c r="D344" s="28" t="s">
        <v>371</v>
      </c>
      <c r="E344" s="41" t="s">
        <v>372</v>
      </c>
      <c r="F344" s="28" t="s">
        <v>109</v>
      </c>
      <c r="G344" s="28" t="s">
        <v>149</v>
      </c>
      <c r="H344" s="24" t="s">
        <v>182</v>
      </c>
      <c r="I344" s="21" t="s">
        <v>179</v>
      </c>
      <c r="J344" s="25">
        <v>0.001</v>
      </c>
      <c r="K344" s="25"/>
      <c r="L344" s="25"/>
      <c r="M344" s="46"/>
    </row>
    <row r="345" ht="37.5" spans="2:13">
      <c r="B345" s="28">
        <f t="shared" si="6"/>
        <v>2032</v>
      </c>
      <c r="C345" s="28">
        <v>2</v>
      </c>
      <c r="D345" s="28" t="s">
        <v>373</v>
      </c>
      <c r="E345" s="41" t="s">
        <v>374</v>
      </c>
      <c r="F345" s="28" t="s">
        <v>109</v>
      </c>
      <c r="G345" s="28" t="s">
        <v>149</v>
      </c>
      <c r="H345" s="24" t="s">
        <v>182</v>
      </c>
      <c r="I345" s="21" t="s">
        <v>179</v>
      </c>
      <c r="J345" s="25">
        <v>0.001</v>
      </c>
      <c r="K345" s="25"/>
      <c r="L345" s="25"/>
      <c r="M345" s="46"/>
    </row>
    <row r="346" ht="37.5" spans="2:13">
      <c r="B346" s="28">
        <f t="shared" si="6"/>
        <v>2034</v>
      </c>
      <c r="C346" s="28">
        <v>2</v>
      </c>
      <c r="D346" s="28" t="s">
        <v>375</v>
      </c>
      <c r="E346" s="41" t="s">
        <v>376</v>
      </c>
      <c r="F346" s="28" t="s">
        <v>109</v>
      </c>
      <c r="G346" s="28"/>
      <c r="H346" s="24" t="s">
        <v>182</v>
      </c>
      <c r="I346" s="21" t="s">
        <v>179</v>
      </c>
      <c r="J346" s="25">
        <v>0.001</v>
      </c>
      <c r="K346" s="25"/>
      <c r="L346" s="25"/>
      <c r="M346" s="46"/>
    </row>
    <row r="347" ht="18.75" spans="2:13">
      <c r="B347" s="28">
        <f t="shared" si="6"/>
        <v>2036</v>
      </c>
      <c r="C347" s="28">
        <v>2</v>
      </c>
      <c r="D347" s="28" t="s">
        <v>377</v>
      </c>
      <c r="E347" s="41" t="s">
        <v>378</v>
      </c>
      <c r="F347" s="28" t="s">
        <v>109</v>
      </c>
      <c r="G347" s="28" t="s">
        <v>263</v>
      </c>
      <c r="H347" s="24" t="s">
        <v>182</v>
      </c>
      <c r="I347" s="21" t="s">
        <v>179</v>
      </c>
      <c r="J347" s="25">
        <v>0.001</v>
      </c>
      <c r="K347" s="25"/>
      <c r="L347" s="25"/>
      <c r="M347" s="46"/>
    </row>
    <row r="348" ht="18.75" spans="2:13">
      <c r="B348" s="28">
        <f t="shared" si="6"/>
        <v>2038</v>
      </c>
      <c r="C348" s="28">
        <v>2</v>
      </c>
      <c r="D348" s="28" t="s">
        <v>379</v>
      </c>
      <c r="E348" s="41" t="s">
        <v>380</v>
      </c>
      <c r="F348" s="28" t="s">
        <v>109</v>
      </c>
      <c r="G348" s="28" t="s">
        <v>263</v>
      </c>
      <c r="H348" s="24" t="s">
        <v>182</v>
      </c>
      <c r="I348" s="21" t="s">
        <v>179</v>
      </c>
      <c r="J348" s="25">
        <v>0.001</v>
      </c>
      <c r="K348" s="25"/>
      <c r="L348" s="25"/>
      <c r="M348" s="46"/>
    </row>
    <row r="349" ht="18.75" spans="2:13">
      <c r="B349" s="28">
        <f t="shared" si="6"/>
        <v>2040</v>
      </c>
      <c r="C349" s="28">
        <v>2</v>
      </c>
      <c r="D349" s="28" t="s">
        <v>381</v>
      </c>
      <c r="E349" s="41" t="s">
        <v>382</v>
      </c>
      <c r="F349" s="28" t="s">
        <v>109</v>
      </c>
      <c r="G349" s="28" t="s">
        <v>263</v>
      </c>
      <c r="H349" s="24" t="s">
        <v>182</v>
      </c>
      <c r="I349" s="21" t="s">
        <v>179</v>
      </c>
      <c r="J349" s="25">
        <v>0.001</v>
      </c>
      <c r="K349" s="25"/>
      <c r="L349" s="25"/>
      <c r="M349" s="46"/>
    </row>
    <row r="350" ht="18.75" spans="2:13">
      <c r="B350" s="28">
        <f t="shared" si="6"/>
        <v>2042</v>
      </c>
      <c r="C350" s="28">
        <v>2</v>
      </c>
      <c r="D350" s="28" t="s">
        <v>383</v>
      </c>
      <c r="E350" s="41" t="s">
        <v>384</v>
      </c>
      <c r="F350" s="28" t="s">
        <v>109</v>
      </c>
      <c r="G350" s="28" t="s">
        <v>263</v>
      </c>
      <c r="H350" s="24" t="s">
        <v>182</v>
      </c>
      <c r="I350" s="21" t="s">
        <v>179</v>
      </c>
      <c r="J350" s="25">
        <v>0.001</v>
      </c>
      <c r="K350" s="25"/>
      <c r="L350" s="25"/>
      <c r="M350" s="46"/>
    </row>
    <row r="351" ht="18.75" spans="2:13">
      <c r="B351" s="28">
        <f t="shared" si="6"/>
        <v>2044</v>
      </c>
      <c r="C351" s="28">
        <v>2</v>
      </c>
      <c r="D351" s="28" t="s">
        <v>385</v>
      </c>
      <c r="E351" s="41" t="s">
        <v>386</v>
      </c>
      <c r="F351" s="28" t="s">
        <v>109</v>
      </c>
      <c r="G351" s="28" t="s">
        <v>263</v>
      </c>
      <c r="H351" s="24" t="s">
        <v>182</v>
      </c>
      <c r="I351" s="21" t="s">
        <v>179</v>
      </c>
      <c r="J351" s="25">
        <v>0.001</v>
      </c>
      <c r="K351" s="25"/>
      <c r="L351" s="25"/>
      <c r="M351" s="46"/>
    </row>
    <row r="352" ht="18.75" spans="2:13">
      <c r="B352" s="28">
        <f t="shared" ref="B352:B394" si="7">B351+C351</f>
        <v>2046</v>
      </c>
      <c r="C352" s="28">
        <v>2</v>
      </c>
      <c r="D352" s="28" t="s">
        <v>387</v>
      </c>
      <c r="E352" s="41" t="s">
        <v>388</v>
      </c>
      <c r="F352" s="28" t="s">
        <v>109</v>
      </c>
      <c r="G352" s="28" t="s">
        <v>263</v>
      </c>
      <c r="H352" s="24" t="s">
        <v>182</v>
      </c>
      <c r="I352" s="21" t="s">
        <v>179</v>
      </c>
      <c r="J352" s="25">
        <v>0.001</v>
      </c>
      <c r="K352" s="25"/>
      <c r="L352" s="25"/>
      <c r="M352" s="46"/>
    </row>
    <row r="353" ht="18.75" spans="2:13">
      <c r="B353" s="28">
        <f t="shared" si="7"/>
        <v>2048</v>
      </c>
      <c r="C353" s="28">
        <v>2</v>
      </c>
      <c r="D353" s="28" t="s">
        <v>389</v>
      </c>
      <c r="E353" s="41" t="s">
        <v>350</v>
      </c>
      <c r="F353" s="28" t="s">
        <v>109</v>
      </c>
      <c r="G353" s="28" t="s">
        <v>149</v>
      </c>
      <c r="H353" s="24" t="s">
        <v>182</v>
      </c>
      <c r="I353" s="21" t="s">
        <v>179</v>
      </c>
      <c r="J353" s="25">
        <v>0.001</v>
      </c>
      <c r="K353" s="25"/>
      <c r="L353" s="25"/>
      <c r="M353" s="46"/>
    </row>
    <row r="354" ht="18.75" spans="2:13">
      <c r="B354" s="28">
        <f t="shared" si="7"/>
        <v>2050</v>
      </c>
      <c r="C354" s="28">
        <v>2</v>
      </c>
      <c r="D354" s="28" t="s">
        <v>390</v>
      </c>
      <c r="E354" s="41" t="s">
        <v>352</v>
      </c>
      <c r="F354" s="28" t="s">
        <v>109</v>
      </c>
      <c r="G354" s="28" t="s">
        <v>149</v>
      </c>
      <c r="H354" s="24" t="s">
        <v>182</v>
      </c>
      <c r="I354" s="21" t="s">
        <v>179</v>
      </c>
      <c r="J354" s="25">
        <v>0.001</v>
      </c>
      <c r="K354" s="25"/>
      <c r="L354" s="25"/>
      <c r="M354" s="46"/>
    </row>
    <row r="355" ht="18.75" spans="2:13">
      <c r="B355" s="28">
        <f t="shared" si="7"/>
        <v>2052</v>
      </c>
      <c r="C355" s="28">
        <v>2</v>
      </c>
      <c r="D355" s="28" t="s">
        <v>391</v>
      </c>
      <c r="E355" s="41" t="s">
        <v>354</v>
      </c>
      <c r="F355" s="28" t="s">
        <v>109</v>
      </c>
      <c r="G355" s="28" t="s">
        <v>149</v>
      </c>
      <c r="H355" s="24" t="s">
        <v>182</v>
      </c>
      <c r="I355" s="21" t="s">
        <v>179</v>
      </c>
      <c r="J355" s="25">
        <v>0.001</v>
      </c>
      <c r="K355" s="25"/>
      <c r="L355" s="25"/>
      <c r="M355" s="46"/>
    </row>
    <row r="356" ht="37.5" spans="2:13">
      <c r="B356" s="28">
        <f t="shared" si="7"/>
        <v>2054</v>
      </c>
      <c r="C356" s="28">
        <v>2</v>
      </c>
      <c r="D356" s="28" t="s">
        <v>392</v>
      </c>
      <c r="E356" s="41" t="s">
        <v>393</v>
      </c>
      <c r="F356" s="28" t="s">
        <v>109</v>
      </c>
      <c r="G356" s="28" t="s">
        <v>149</v>
      </c>
      <c r="H356" s="24" t="s">
        <v>182</v>
      </c>
      <c r="I356" s="21" t="s">
        <v>179</v>
      </c>
      <c r="J356" s="25">
        <v>0.001</v>
      </c>
      <c r="K356" s="25"/>
      <c r="L356" s="25"/>
      <c r="M356" s="46"/>
    </row>
    <row r="357" ht="18.75" spans="2:13">
      <c r="B357" s="28">
        <f t="shared" si="7"/>
        <v>2056</v>
      </c>
      <c r="C357" s="28">
        <v>2</v>
      </c>
      <c r="D357" s="28" t="s">
        <v>394</v>
      </c>
      <c r="E357" s="41" t="s">
        <v>395</v>
      </c>
      <c r="F357" s="28" t="s">
        <v>109</v>
      </c>
      <c r="G357" s="28" t="s">
        <v>270</v>
      </c>
      <c r="H357" s="24" t="s">
        <v>182</v>
      </c>
      <c r="I357" s="21" t="s">
        <v>179</v>
      </c>
      <c r="J357" s="25">
        <v>0.001</v>
      </c>
      <c r="K357" s="25"/>
      <c r="L357" s="25"/>
      <c r="M357" s="46"/>
    </row>
    <row r="358" ht="18.75" spans="2:13">
      <c r="B358" s="28">
        <f t="shared" si="7"/>
        <v>2058</v>
      </c>
      <c r="C358" s="28">
        <v>2</v>
      </c>
      <c r="D358" s="28" t="s">
        <v>396</v>
      </c>
      <c r="E358" s="41" t="s">
        <v>397</v>
      </c>
      <c r="F358" s="28" t="s">
        <v>109</v>
      </c>
      <c r="G358" s="28" t="s">
        <v>284</v>
      </c>
      <c r="H358" s="24" t="s">
        <v>182</v>
      </c>
      <c r="I358" s="21" t="s">
        <v>179</v>
      </c>
      <c r="J358" s="25">
        <v>0.001</v>
      </c>
      <c r="K358" s="25"/>
      <c r="L358" s="25"/>
      <c r="M358" s="46"/>
    </row>
    <row r="359" ht="18.75" spans="2:13">
      <c r="B359" s="28">
        <f t="shared" si="7"/>
        <v>2060</v>
      </c>
      <c r="C359" s="28">
        <v>2</v>
      </c>
      <c r="D359" s="28" t="s">
        <v>398</v>
      </c>
      <c r="E359" s="41" t="s">
        <v>399</v>
      </c>
      <c r="F359" s="28" t="s">
        <v>109</v>
      </c>
      <c r="G359" s="28" t="s">
        <v>155</v>
      </c>
      <c r="H359" s="24" t="s">
        <v>182</v>
      </c>
      <c r="I359" s="21" t="s">
        <v>179</v>
      </c>
      <c r="J359" s="25">
        <v>0.001</v>
      </c>
      <c r="K359" s="25"/>
      <c r="L359" s="25"/>
      <c r="M359" s="46"/>
    </row>
    <row r="360" ht="18.75" spans="2:13">
      <c r="B360" s="28">
        <f t="shared" si="7"/>
        <v>2062</v>
      </c>
      <c r="C360" s="28">
        <v>2</v>
      </c>
      <c r="D360" s="28" t="s">
        <v>400</v>
      </c>
      <c r="E360" s="41" t="s">
        <v>401</v>
      </c>
      <c r="F360" s="28" t="s">
        <v>109</v>
      </c>
      <c r="G360" s="28" t="s">
        <v>155</v>
      </c>
      <c r="H360" s="24" t="s">
        <v>182</v>
      </c>
      <c r="I360" s="21" t="s">
        <v>179</v>
      </c>
      <c r="J360" s="25">
        <v>0.001</v>
      </c>
      <c r="K360" s="25"/>
      <c r="L360" s="25"/>
      <c r="M360" s="46"/>
    </row>
    <row r="361" ht="18.75" spans="2:13">
      <c r="B361" s="28">
        <f t="shared" si="7"/>
        <v>2064</v>
      </c>
      <c r="C361" s="28">
        <v>2</v>
      </c>
      <c r="D361" s="28" t="s">
        <v>402</v>
      </c>
      <c r="E361" s="41" t="s">
        <v>403</v>
      </c>
      <c r="F361" s="28" t="s">
        <v>109</v>
      </c>
      <c r="G361" s="28" t="s">
        <v>155</v>
      </c>
      <c r="H361" s="24" t="s">
        <v>182</v>
      </c>
      <c r="I361" s="21" t="s">
        <v>179</v>
      </c>
      <c r="J361" s="25">
        <v>0.001</v>
      </c>
      <c r="K361" s="25"/>
      <c r="L361" s="25"/>
      <c r="M361" s="46"/>
    </row>
    <row r="362" ht="18.75" spans="2:13">
      <c r="B362" s="28">
        <f t="shared" si="7"/>
        <v>2066</v>
      </c>
      <c r="C362" s="28">
        <v>2</v>
      </c>
      <c r="D362" s="28" t="s">
        <v>404</v>
      </c>
      <c r="E362" s="41" t="s">
        <v>405</v>
      </c>
      <c r="F362" s="28" t="s">
        <v>109</v>
      </c>
      <c r="G362" s="28" t="s">
        <v>155</v>
      </c>
      <c r="H362" s="24" t="s">
        <v>182</v>
      </c>
      <c r="I362" s="21" t="s">
        <v>179</v>
      </c>
      <c r="J362" s="25">
        <v>0.001</v>
      </c>
      <c r="K362" s="25"/>
      <c r="L362" s="25"/>
      <c r="M362" s="46"/>
    </row>
    <row r="363" ht="18.75" spans="2:13">
      <c r="B363" s="28">
        <f t="shared" si="7"/>
        <v>2068</v>
      </c>
      <c r="C363" s="28">
        <v>2</v>
      </c>
      <c r="D363" s="28" t="s">
        <v>406</v>
      </c>
      <c r="E363" s="41" t="s">
        <v>407</v>
      </c>
      <c r="F363" s="28" t="s">
        <v>109</v>
      </c>
      <c r="G363" s="28" t="s">
        <v>155</v>
      </c>
      <c r="H363" s="24" t="s">
        <v>182</v>
      </c>
      <c r="I363" s="21" t="s">
        <v>179</v>
      </c>
      <c r="J363" s="25">
        <v>0.001</v>
      </c>
      <c r="K363" s="25"/>
      <c r="L363" s="25"/>
      <c r="M363" s="46"/>
    </row>
    <row r="364" ht="18.75" spans="2:13">
      <c r="B364" s="28">
        <f t="shared" si="7"/>
        <v>2070</v>
      </c>
      <c r="C364" s="28">
        <v>2</v>
      </c>
      <c r="D364" s="28" t="s">
        <v>408</v>
      </c>
      <c r="E364" s="41" t="s">
        <v>409</v>
      </c>
      <c r="F364" s="28" t="s">
        <v>109</v>
      </c>
      <c r="G364" s="28" t="s">
        <v>155</v>
      </c>
      <c r="H364" s="24" t="s">
        <v>182</v>
      </c>
      <c r="I364" s="21" t="s">
        <v>179</v>
      </c>
      <c r="J364" s="25">
        <v>0.001</v>
      </c>
      <c r="K364" s="25"/>
      <c r="L364" s="25"/>
      <c r="M364" s="46"/>
    </row>
    <row r="365" ht="18.75" spans="2:13">
      <c r="B365" s="28">
        <f t="shared" si="7"/>
        <v>2072</v>
      </c>
      <c r="C365" s="28">
        <v>2</v>
      </c>
      <c r="D365" s="28" t="s">
        <v>410</v>
      </c>
      <c r="E365" s="41" t="s">
        <v>411</v>
      </c>
      <c r="F365" s="28" t="s">
        <v>109</v>
      </c>
      <c r="G365" s="28" t="s">
        <v>155</v>
      </c>
      <c r="H365" s="24" t="s">
        <v>182</v>
      </c>
      <c r="I365" s="21" t="s">
        <v>179</v>
      </c>
      <c r="J365" s="25">
        <v>0.001</v>
      </c>
      <c r="K365" s="25"/>
      <c r="L365" s="25"/>
      <c r="M365" s="46"/>
    </row>
    <row r="366" ht="18.75" spans="2:13">
      <c r="B366" s="28">
        <f t="shared" si="7"/>
        <v>2074</v>
      </c>
      <c r="C366" s="28">
        <v>2</v>
      </c>
      <c r="D366" s="28" t="s">
        <v>412</v>
      </c>
      <c r="E366" s="41" t="s">
        <v>413</v>
      </c>
      <c r="F366" s="28" t="s">
        <v>109</v>
      </c>
      <c r="G366" s="28" t="s">
        <v>155</v>
      </c>
      <c r="H366" s="24" t="s">
        <v>182</v>
      </c>
      <c r="I366" s="21" t="s">
        <v>179</v>
      </c>
      <c r="J366" s="25">
        <v>0.001</v>
      </c>
      <c r="K366" s="25"/>
      <c r="L366" s="25"/>
      <c r="M366" s="46"/>
    </row>
    <row r="367" ht="18.75" spans="2:13">
      <c r="B367" s="28">
        <f t="shared" si="7"/>
        <v>2076</v>
      </c>
      <c r="C367" s="28">
        <v>2</v>
      </c>
      <c r="D367" s="28" t="s">
        <v>414</v>
      </c>
      <c r="E367" s="41" t="s">
        <v>415</v>
      </c>
      <c r="F367" s="28" t="s">
        <v>109</v>
      </c>
      <c r="G367" s="28" t="s">
        <v>155</v>
      </c>
      <c r="H367" s="24" t="s">
        <v>182</v>
      </c>
      <c r="I367" s="21" t="s">
        <v>179</v>
      </c>
      <c r="J367" s="25">
        <v>0.001</v>
      </c>
      <c r="K367" s="25"/>
      <c r="L367" s="25"/>
      <c r="M367" s="46"/>
    </row>
    <row r="368" ht="18.75" spans="2:13">
      <c r="B368" s="28">
        <f t="shared" si="7"/>
        <v>2078</v>
      </c>
      <c r="C368" s="28">
        <v>2</v>
      </c>
      <c r="D368" s="28" t="s">
        <v>416</v>
      </c>
      <c r="E368" s="41" t="s">
        <v>417</v>
      </c>
      <c r="F368" s="28" t="s">
        <v>109</v>
      </c>
      <c r="G368" s="28" t="s">
        <v>418</v>
      </c>
      <c r="H368" s="24" t="s">
        <v>182</v>
      </c>
      <c r="I368" s="21" t="s">
        <v>179</v>
      </c>
      <c r="J368" s="25">
        <v>0.001</v>
      </c>
      <c r="K368" s="25"/>
      <c r="L368" s="25"/>
      <c r="M368" s="46"/>
    </row>
    <row r="369" ht="18.75" spans="2:13">
      <c r="B369" s="28">
        <f t="shared" si="7"/>
        <v>2080</v>
      </c>
      <c r="C369" s="28">
        <v>2</v>
      </c>
      <c r="D369" s="28" t="s">
        <v>419</v>
      </c>
      <c r="E369" s="41" t="s">
        <v>420</v>
      </c>
      <c r="F369" s="28" t="s">
        <v>109</v>
      </c>
      <c r="G369" s="28" t="s">
        <v>418</v>
      </c>
      <c r="H369" s="24" t="s">
        <v>182</v>
      </c>
      <c r="I369" s="21" t="s">
        <v>179</v>
      </c>
      <c r="J369" s="25">
        <v>0.001</v>
      </c>
      <c r="K369" s="25"/>
      <c r="L369" s="25"/>
      <c r="M369" s="46"/>
    </row>
    <row r="370" ht="18.75" spans="2:13">
      <c r="B370" s="28">
        <f t="shared" si="7"/>
        <v>2082</v>
      </c>
      <c r="C370" s="28">
        <v>2</v>
      </c>
      <c r="D370" s="28" t="s">
        <v>421</v>
      </c>
      <c r="E370" s="41" t="s">
        <v>422</v>
      </c>
      <c r="F370" s="28" t="s">
        <v>109</v>
      </c>
      <c r="G370" s="28" t="s">
        <v>418</v>
      </c>
      <c r="H370" s="24" t="s">
        <v>182</v>
      </c>
      <c r="I370" s="21" t="s">
        <v>179</v>
      </c>
      <c r="J370" s="25">
        <v>0.001</v>
      </c>
      <c r="K370" s="25"/>
      <c r="L370" s="25"/>
      <c r="M370" s="46"/>
    </row>
    <row r="371" ht="18.75" spans="2:13">
      <c r="B371" s="28">
        <f t="shared" si="7"/>
        <v>2084</v>
      </c>
      <c r="C371" s="28">
        <v>2</v>
      </c>
      <c r="D371" s="28" t="s">
        <v>423</v>
      </c>
      <c r="E371" s="41" t="s">
        <v>424</v>
      </c>
      <c r="F371" s="28" t="s">
        <v>109</v>
      </c>
      <c r="G371" s="28" t="s">
        <v>418</v>
      </c>
      <c r="H371" s="24" t="s">
        <v>182</v>
      </c>
      <c r="I371" s="21" t="s">
        <v>179</v>
      </c>
      <c r="J371" s="25">
        <v>0.001</v>
      </c>
      <c r="K371" s="25"/>
      <c r="L371" s="25"/>
      <c r="M371" s="46"/>
    </row>
    <row r="372" ht="18.75" spans="2:13">
      <c r="B372" s="28">
        <f t="shared" si="7"/>
        <v>2086</v>
      </c>
      <c r="C372" s="28">
        <v>2</v>
      </c>
      <c r="D372" s="28" t="s">
        <v>425</v>
      </c>
      <c r="E372" s="41" t="s">
        <v>710</v>
      </c>
      <c r="F372" s="28" t="s">
        <v>109</v>
      </c>
      <c r="G372" s="28" t="s">
        <v>418</v>
      </c>
      <c r="H372" s="24" t="s">
        <v>182</v>
      </c>
      <c r="I372" s="21" t="s">
        <v>179</v>
      </c>
      <c r="J372" s="25">
        <v>0.001</v>
      </c>
      <c r="K372" s="25"/>
      <c r="L372" s="25"/>
      <c r="M372" s="46"/>
    </row>
    <row r="373" ht="18.75" spans="2:13">
      <c r="B373" s="28">
        <f t="shared" si="7"/>
        <v>2088</v>
      </c>
      <c r="C373" s="28">
        <v>2</v>
      </c>
      <c r="D373" s="28" t="s">
        <v>426</v>
      </c>
      <c r="E373" s="41" t="s">
        <v>427</v>
      </c>
      <c r="F373" s="28" t="s">
        <v>109</v>
      </c>
      <c r="G373" s="28" t="s">
        <v>418</v>
      </c>
      <c r="H373" s="24" t="s">
        <v>182</v>
      </c>
      <c r="I373" s="21" t="s">
        <v>179</v>
      </c>
      <c r="J373" s="25">
        <v>0.001</v>
      </c>
      <c r="K373" s="25"/>
      <c r="L373" s="25"/>
      <c r="M373" s="46"/>
    </row>
    <row r="374" ht="18.75" spans="2:13">
      <c r="B374" s="28">
        <f t="shared" si="7"/>
        <v>2090</v>
      </c>
      <c r="C374" s="28">
        <v>2</v>
      </c>
      <c r="D374" s="28" t="s">
        <v>428</v>
      </c>
      <c r="E374" s="41" t="s">
        <v>429</v>
      </c>
      <c r="F374" s="28" t="s">
        <v>109</v>
      </c>
      <c r="G374" s="28" t="s">
        <v>418</v>
      </c>
      <c r="H374" s="24" t="s">
        <v>182</v>
      </c>
      <c r="I374" s="21" t="s">
        <v>179</v>
      </c>
      <c r="J374" s="25">
        <v>0.001</v>
      </c>
      <c r="K374" s="25"/>
      <c r="L374" s="25"/>
      <c r="M374" s="46"/>
    </row>
    <row r="375" ht="18.75" spans="2:13">
      <c r="B375" s="28">
        <f t="shared" si="7"/>
        <v>2092</v>
      </c>
      <c r="C375" s="28">
        <v>2</v>
      </c>
      <c r="D375" s="28" t="s">
        <v>430</v>
      </c>
      <c r="E375" s="41" t="s">
        <v>431</v>
      </c>
      <c r="F375" s="28" t="s">
        <v>109</v>
      </c>
      <c r="G375" s="28" t="s">
        <v>418</v>
      </c>
      <c r="H375" s="24" t="s">
        <v>182</v>
      </c>
      <c r="I375" s="21" t="s">
        <v>179</v>
      </c>
      <c r="J375" s="25">
        <v>0.001</v>
      </c>
      <c r="K375" s="25"/>
      <c r="L375" s="25"/>
      <c r="M375" s="46"/>
    </row>
    <row r="376" ht="18.75" spans="2:13">
      <c r="B376" s="28">
        <f t="shared" si="7"/>
        <v>2094</v>
      </c>
      <c r="C376" s="28">
        <v>2</v>
      </c>
      <c r="D376" s="28" t="s">
        <v>432</v>
      </c>
      <c r="E376" s="41" t="s">
        <v>433</v>
      </c>
      <c r="F376" s="28" t="s">
        <v>109</v>
      </c>
      <c r="G376" s="28" t="s">
        <v>418</v>
      </c>
      <c r="H376" s="24" t="s">
        <v>182</v>
      </c>
      <c r="I376" s="21" t="s">
        <v>179</v>
      </c>
      <c r="J376" s="25">
        <v>0.001</v>
      </c>
      <c r="K376" s="25"/>
      <c r="L376" s="25"/>
      <c r="M376" s="46"/>
    </row>
    <row r="377" ht="18.75" spans="2:13">
      <c r="B377" s="28">
        <f t="shared" si="7"/>
        <v>2096</v>
      </c>
      <c r="C377" s="28">
        <v>1</v>
      </c>
      <c r="D377" s="28" t="s">
        <v>434</v>
      </c>
      <c r="E377" s="41" t="s">
        <v>435</v>
      </c>
      <c r="F377" s="28" t="s">
        <v>109</v>
      </c>
      <c r="G377" s="28"/>
      <c r="H377" s="28" t="s">
        <v>230</v>
      </c>
      <c r="I377" s="25" t="s">
        <v>172</v>
      </c>
      <c r="J377" s="25">
        <v>1</v>
      </c>
      <c r="K377" s="25"/>
      <c r="L377" s="25" t="s">
        <v>436</v>
      </c>
      <c r="M377" s="46"/>
    </row>
    <row r="378" ht="18.75" spans="2:13">
      <c r="B378" s="28">
        <f t="shared" si="7"/>
        <v>2097</v>
      </c>
      <c r="C378" s="28">
        <v>1</v>
      </c>
      <c r="D378" s="28" t="s">
        <v>437</v>
      </c>
      <c r="E378" s="41">
        <v>4</v>
      </c>
      <c r="F378" s="28" t="s">
        <v>109</v>
      </c>
      <c r="G378" s="28"/>
      <c r="H378" s="28" t="s">
        <v>230</v>
      </c>
      <c r="I378" s="25" t="s">
        <v>172</v>
      </c>
      <c r="J378" s="25">
        <v>1</v>
      </c>
      <c r="K378" s="25"/>
      <c r="L378" s="25" t="s">
        <v>438</v>
      </c>
      <c r="M378" s="46"/>
    </row>
    <row r="379" ht="18.75" spans="2:13">
      <c r="B379" s="28">
        <f t="shared" si="7"/>
        <v>2098</v>
      </c>
      <c r="C379" s="28">
        <v>1</v>
      </c>
      <c r="D379" s="28" t="s">
        <v>711</v>
      </c>
      <c r="E379" s="41" t="s">
        <v>712</v>
      </c>
      <c r="F379" s="28" t="s">
        <v>109</v>
      </c>
      <c r="G379" s="28"/>
      <c r="H379" s="28" t="s">
        <v>230</v>
      </c>
      <c r="I379" s="28" t="s">
        <v>230</v>
      </c>
      <c r="J379" s="28">
        <v>1</v>
      </c>
      <c r="K379" s="28"/>
      <c r="L379" s="45"/>
      <c r="M379" s="46"/>
    </row>
    <row r="380" ht="18.75" spans="2:13">
      <c r="B380" s="28">
        <f t="shared" si="7"/>
        <v>2099</v>
      </c>
      <c r="C380" s="28">
        <v>1</v>
      </c>
      <c r="D380" s="28" t="s">
        <v>713</v>
      </c>
      <c r="E380" s="41" t="s">
        <v>714</v>
      </c>
      <c r="F380" s="28" t="s">
        <v>109</v>
      </c>
      <c r="G380" s="28"/>
      <c r="H380" s="28" t="s">
        <v>230</v>
      </c>
      <c r="I380" s="28" t="s">
        <v>230</v>
      </c>
      <c r="J380" s="28">
        <v>1</v>
      </c>
      <c r="K380" s="28"/>
      <c r="L380" s="45"/>
      <c r="M380" s="46"/>
    </row>
    <row r="381" ht="18.75" spans="2:13">
      <c r="B381" s="28">
        <f t="shared" si="7"/>
        <v>2100</v>
      </c>
      <c r="C381" s="28">
        <v>1</v>
      </c>
      <c r="D381" s="28" t="s">
        <v>715</v>
      </c>
      <c r="E381" s="41" t="s">
        <v>716</v>
      </c>
      <c r="F381" s="28" t="s">
        <v>109</v>
      </c>
      <c r="G381" s="28"/>
      <c r="H381" s="28" t="s">
        <v>230</v>
      </c>
      <c r="I381" s="28" t="s">
        <v>230</v>
      </c>
      <c r="J381" s="28">
        <v>1</v>
      </c>
      <c r="K381" s="28"/>
      <c r="L381" s="45"/>
      <c r="M381" s="46"/>
    </row>
    <row r="382" ht="18.75" spans="2:13">
      <c r="B382" s="28">
        <f t="shared" si="7"/>
        <v>2101</v>
      </c>
      <c r="C382" s="28">
        <v>1</v>
      </c>
      <c r="D382" s="28" t="s">
        <v>717</v>
      </c>
      <c r="E382" s="41" t="s">
        <v>718</v>
      </c>
      <c r="F382" s="28" t="s">
        <v>109</v>
      </c>
      <c r="G382" s="28"/>
      <c r="H382" s="28" t="s">
        <v>230</v>
      </c>
      <c r="I382" s="28" t="s">
        <v>230</v>
      </c>
      <c r="J382" s="28">
        <v>1</v>
      </c>
      <c r="K382" s="28"/>
      <c r="L382" s="45"/>
      <c r="M382" s="46"/>
    </row>
    <row r="383" ht="18.75" spans="2:13">
      <c r="B383" s="28">
        <f t="shared" si="7"/>
        <v>2102</v>
      </c>
      <c r="C383" s="28">
        <v>1</v>
      </c>
      <c r="D383" s="28" t="s">
        <v>719</v>
      </c>
      <c r="E383" s="41" t="s">
        <v>720</v>
      </c>
      <c r="F383" s="28" t="s">
        <v>109</v>
      </c>
      <c r="G383" s="28"/>
      <c r="H383" s="28" t="s">
        <v>230</v>
      </c>
      <c r="I383" s="28" t="s">
        <v>230</v>
      </c>
      <c r="J383" s="28">
        <v>1</v>
      </c>
      <c r="K383" s="28"/>
      <c r="L383" s="45"/>
      <c r="M383" s="46"/>
    </row>
    <row r="384" ht="18.75" spans="2:13">
      <c r="B384" s="28">
        <f t="shared" si="7"/>
        <v>2103</v>
      </c>
      <c r="C384" s="28">
        <v>1</v>
      </c>
      <c r="D384" s="28" t="s">
        <v>721</v>
      </c>
      <c r="E384" s="41" t="s">
        <v>722</v>
      </c>
      <c r="F384" s="28" t="s">
        <v>109</v>
      </c>
      <c r="G384" s="28"/>
      <c r="H384" s="28" t="s">
        <v>230</v>
      </c>
      <c r="I384" s="28" t="s">
        <v>230</v>
      </c>
      <c r="J384" s="28">
        <v>1</v>
      </c>
      <c r="K384" s="28"/>
      <c r="L384" s="45"/>
      <c r="M384" s="46"/>
    </row>
    <row r="385" ht="18.75" spans="2:13">
      <c r="B385" s="28">
        <f t="shared" si="7"/>
        <v>2104</v>
      </c>
      <c r="C385" s="28">
        <v>1</v>
      </c>
      <c r="D385" s="28" t="s">
        <v>723</v>
      </c>
      <c r="E385" s="41" t="s">
        <v>724</v>
      </c>
      <c r="F385" s="28" t="s">
        <v>109</v>
      </c>
      <c r="G385" s="28"/>
      <c r="H385" s="28" t="s">
        <v>230</v>
      </c>
      <c r="I385" s="28" t="s">
        <v>230</v>
      </c>
      <c r="J385" s="28">
        <v>1</v>
      </c>
      <c r="K385" s="28"/>
      <c r="L385" s="45"/>
      <c r="M385" s="46"/>
    </row>
    <row r="386" ht="18.75" spans="2:13">
      <c r="B386" s="28">
        <f t="shared" si="7"/>
        <v>2105</v>
      </c>
      <c r="C386" s="28">
        <v>1</v>
      </c>
      <c r="D386" s="28" t="s">
        <v>725</v>
      </c>
      <c r="E386" s="41" t="s">
        <v>726</v>
      </c>
      <c r="F386" s="28" t="s">
        <v>109</v>
      </c>
      <c r="G386" s="28"/>
      <c r="H386" s="28" t="s">
        <v>230</v>
      </c>
      <c r="I386" s="28" t="s">
        <v>230</v>
      </c>
      <c r="J386" s="28">
        <v>1</v>
      </c>
      <c r="K386" s="28"/>
      <c r="L386" s="45"/>
      <c r="M386" s="46"/>
    </row>
    <row r="387" ht="18.75" spans="2:13">
      <c r="B387" s="28">
        <f t="shared" si="7"/>
        <v>2106</v>
      </c>
      <c r="C387" s="28">
        <v>1</v>
      </c>
      <c r="D387" s="28" t="s">
        <v>727</v>
      </c>
      <c r="E387" s="41" t="s">
        <v>728</v>
      </c>
      <c r="F387" s="28" t="s">
        <v>109</v>
      </c>
      <c r="G387" s="28"/>
      <c r="H387" s="28" t="s">
        <v>230</v>
      </c>
      <c r="I387" s="28" t="s">
        <v>230</v>
      </c>
      <c r="J387" s="28">
        <v>1</v>
      </c>
      <c r="K387" s="28"/>
      <c r="L387" s="28" t="s">
        <v>729</v>
      </c>
      <c r="M387" s="47" t="s">
        <v>730</v>
      </c>
    </row>
    <row r="388" ht="18.75" spans="2:13">
      <c r="B388" s="28">
        <f t="shared" si="7"/>
        <v>2107</v>
      </c>
      <c r="C388" s="28">
        <v>1</v>
      </c>
      <c r="D388" s="28" t="s">
        <v>731</v>
      </c>
      <c r="E388" s="41" t="s">
        <v>233</v>
      </c>
      <c r="F388" s="28" t="s">
        <v>109</v>
      </c>
      <c r="G388" s="28"/>
      <c r="H388" s="28" t="s">
        <v>230</v>
      </c>
      <c r="I388" s="28" t="s">
        <v>230</v>
      </c>
      <c r="J388" s="28">
        <v>1</v>
      </c>
      <c r="K388" s="28"/>
      <c r="L388" s="45" t="s">
        <v>729</v>
      </c>
      <c r="M388" s="47" t="s">
        <v>730</v>
      </c>
    </row>
    <row r="389" ht="18.75" spans="2:13">
      <c r="B389" s="28">
        <f t="shared" si="7"/>
        <v>2108</v>
      </c>
      <c r="C389" s="28">
        <v>1</v>
      </c>
      <c r="D389" s="28" t="s">
        <v>239</v>
      </c>
      <c r="E389" s="41" t="s">
        <v>240</v>
      </c>
      <c r="F389" s="28" t="s">
        <v>109</v>
      </c>
      <c r="G389" s="28"/>
      <c r="H389" s="28" t="s">
        <v>230</v>
      </c>
      <c r="I389" s="28" t="s">
        <v>230</v>
      </c>
      <c r="J389" s="28">
        <v>1</v>
      </c>
      <c r="K389" s="28"/>
      <c r="L389" s="45" t="s">
        <v>732</v>
      </c>
      <c r="M389" s="46"/>
    </row>
    <row r="390" ht="18.75" spans="2:13">
      <c r="B390" s="28">
        <f t="shared" si="7"/>
        <v>2109</v>
      </c>
      <c r="C390" s="28">
        <v>1</v>
      </c>
      <c r="D390" s="28" t="s">
        <v>733</v>
      </c>
      <c r="E390" s="41" t="s">
        <v>734</v>
      </c>
      <c r="F390" s="28" t="s">
        <v>109</v>
      </c>
      <c r="G390" s="28"/>
      <c r="H390" s="28" t="s">
        <v>230</v>
      </c>
      <c r="I390" s="28" t="s">
        <v>230</v>
      </c>
      <c r="J390" s="28">
        <v>1</v>
      </c>
      <c r="K390" s="28"/>
      <c r="L390" s="45"/>
      <c r="M390" s="46"/>
    </row>
    <row r="391" ht="18.75" spans="2:13">
      <c r="B391" s="28">
        <f t="shared" si="7"/>
        <v>2110</v>
      </c>
      <c r="C391" s="28">
        <v>1</v>
      </c>
      <c r="D391" s="28" t="s">
        <v>735</v>
      </c>
      <c r="E391" s="41" t="s">
        <v>736</v>
      </c>
      <c r="F391" s="28" t="s">
        <v>109</v>
      </c>
      <c r="G391" s="28"/>
      <c r="H391" s="28" t="s">
        <v>230</v>
      </c>
      <c r="I391" s="28" t="s">
        <v>230</v>
      </c>
      <c r="J391" s="28">
        <v>1</v>
      </c>
      <c r="K391" s="28"/>
      <c r="L391" s="45"/>
      <c r="M391" s="46"/>
    </row>
    <row r="392" ht="18.75" spans="2:13">
      <c r="B392" s="28">
        <f t="shared" si="7"/>
        <v>2111</v>
      </c>
      <c r="C392" s="28">
        <v>1</v>
      </c>
      <c r="D392" s="28" t="s">
        <v>737</v>
      </c>
      <c r="E392" s="41" t="s">
        <v>738</v>
      </c>
      <c r="F392" s="28" t="s">
        <v>109</v>
      </c>
      <c r="G392" s="28"/>
      <c r="H392" s="28" t="s">
        <v>230</v>
      </c>
      <c r="I392" s="28" t="s">
        <v>230</v>
      </c>
      <c r="J392" s="28">
        <v>1</v>
      </c>
      <c r="K392" s="28"/>
      <c r="L392" s="45"/>
      <c r="M392" s="46"/>
    </row>
    <row r="393" ht="18.75" spans="2:13">
      <c r="B393" s="28">
        <f t="shared" si="7"/>
        <v>2112</v>
      </c>
      <c r="C393" s="28">
        <v>1</v>
      </c>
      <c r="D393" s="28" t="s">
        <v>739</v>
      </c>
      <c r="E393" s="41" t="s">
        <v>740</v>
      </c>
      <c r="F393" s="28" t="s">
        <v>109</v>
      </c>
      <c r="G393" s="28"/>
      <c r="H393" s="28" t="s">
        <v>230</v>
      </c>
      <c r="I393" s="28" t="s">
        <v>230</v>
      </c>
      <c r="J393" s="28">
        <v>1</v>
      </c>
      <c r="K393" s="28"/>
      <c r="L393" s="45"/>
      <c r="M393" s="46"/>
    </row>
    <row r="394" ht="18.75" spans="2:13">
      <c r="B394" s="28">
        <f t="shared" si="7"/>
        <v>2113</v>
      </c>
      <c r="C394" s="28">
        <v>1</v>
      </c>
      <c r="D394" s="28" t="s">
        <v>741</v>
      </c>
      <c r="E394" s="41" t="s">
        <v>742</v>
      </c>
      <c r="F394" s="28" t="s">
        <v>109</v>
      </c>
      <c r="G394" s="28"/>
      <c r="H394" s="28" t="s">
        <v>230</v>
      </c>
      <c r="I394" s="28" t="s">
        <v>230</v>
      </c>
      <c r="J394" s="28">
        <v>1</v>
      </c>
      <c r="K394" s="28"/>
      <c r="L394" s="45"/>
      <c r="M394" s="46"/>
    </row>
    <row r="395" ht="18.75" spans="2:13">
      <c r="B395" s="39" t="s">
        <v>743</v>
      </c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28"/>
    </row>
    <row r="396" ht="37.5" spans="2:13">
      <c r="B396" s="28">
        <v>3200</v>
      </c>
      <c r="C396" s="41">
        <v>1</v>
      </c>
      <c r="D396" s="42" t="s">
        <v>744</v>
      </c>
      <c r="E396" s="41" t="s">
        <v>745</v>
      </c>
      <c r="F396" s="28" t="s">
        <v>109</v>
      </c>
      <c r="G396" s="41"/>
      <c r="H396" s="25" t="s">
        <v>114</v>
      </c>
      <c r="I396" s="25" t="s">
        <v>114</v>
      </c>
      <c r="J396" s="41">
        <v>1</v>
      </c>
      <c r="K396" s="41"/>
      <c r="L396" s="43" t="s">
        <v>746</v>
      </c>
      <c r="M396" s="28"/>
    </row>
    <row r="397" ht="37.5" spans="2:13">
      <c r="B397" s="28">
        <f t="shared" ref="B397:B460" si="8">B396+C396</f>
        <v>3201</v>
      </c>
      <c r="C397" s="41">
        <v>1</v>
      </c>
      <c r="D397" s="42" t="s">
        <v>747</v>
      </c>
      <c r="E397" s="41" t="s">
        <v>748</v>
      </c>
      <c r="F397" s="28" t="s">
        <v>109</v>
      </c>
      <c r="G397" s="41"/>
      <c r="H397" s="41" t="s">
        <v>182</v>
      </c>
      <c r="I397" s="25" t="s">
        <v>749</v>
      </c>
      <c r="J397" s="41">
        <v>0.1</v>
      </c>
      <c r="K397" s="41"/>
      <c r="L397" s="43"/>
      <c r="M397" s="28"/>
    </row>
    <row r="398" ht="37.5" spans="2:13">
      <c r="B398" s="28">
        <f t="shared" si="8"/>
        <v>3202</v>
      </c>
      <c r="C398" s="41">
        <v>1</v>
      </c>
      <c r="D398" s="42" t="s">
        <v>750</v>
      </c>
      <c r="E398" s="41" t="s">
        <v>751</v>
      </c>
      <c r="F398" s="28" t="s">
        <v>109</v>
      </c>
      <c r="G398" s="41"/>
      <c r="H398" s="41" t="s">
        <v>182</v>
      </c>
      <c r="I398" s="25" t="s">
        <v>749</v>
      </c>
      <c r="J398" s="41">
        <v>0.1</v>
      </c>
      <c r="K398" s="41"/>
      <c r="L398" s="43"/>
      <c r="M398" s="28"/>
    </row>
    <row r="399" ht="37.5" spans="2:13">
      <c r="B399" s="28">
        <f t="shared" si="8"/>
        <v>3203</v>
      </c>
      <c r="C399" s="41">
        <v>1</v>
      </c>
      <c r="D399" s="42" t="s">
        <v>752</v>
      </c>
      <c r="E399" s="41" t="s">
        <v>753</v>
      </c>
      <c r="F399" s="28" t="s">
        <v>109</v>
      </c>
      <c r="G399" s="41"/>
      <c r="H399" s="41" t="s">
        <v>182</v>
      </c>
      <c r="I399" s="25" t="s">
        <v>749</v>
      </c>
      <c r="J399" s="41">
        <v>0.1</v>
      </c>
      <c r="K399" s="41"/>
      <c r="L399" s="43"/>
      <c r="M399" s="28"/>
    </row>
    <row r="400" ht="37.5" spans="2:13">
      <c r="B400" s="28">
        <f t="shared" si="8"/>
        <v>3204</v>
      </c>
      <c r="C400" s="41">
        <v>1</v>
      </c>
      <c r="D400" s="42" t="s">
        <v>754</v>
      </c>
      <c r="E400" s="41" t="s">
        <v>755</v>
      </c>
      <c r="F400" s="28" t="s">
        <v>109</v>
      </c>
      <c r="G400" s="41"/>
      <c r="H400" s="41" t="s">
        <v>182</v>
      </c>
      <c r="I400" s="25" t="s">
        <v>749</v>
      </c>
      <c r="J400" s="41">
        <v>0.1</v>
      </c>
      <c r="K400" s="41"/>
      <c r="L400" s="43"/>
      <c r="M400" s="28"/>
    </row>
    <row r="401" ht="37.5" spans="2:13">
      <c r="B401" s="28">
        <f t="shared" si="8"/>
        <v>3205</v>
      </c>
      <c r="C401" s="41">
        <v>1</v>
      </c>
      <c r="D401" s="42" t="s">
        <v>756</v>
      </c>
      <c r="E401" s="41" t="s">
        <v>757</v>
      </c>
      <c r="F401" s="28" t="s">
        <v>109</v>
      </c>
      <c r="G401" s="41"/>
      <c r="H401" s="41" t="s">
        <v>182</v>
      </c>
      <c r="I401" s="25" t="s">
        <v>749</v>
      </c>
      <c r="J401" s="41">
        <v>0.1</v>
      </c>
      <c r="K401" s="41"/>
      <c r="L401" s="43"/>
      <c r="M401" s="28"/>
    </row>
    <row r="402" ht="37.5" spans="2:13">
      <c r="B402" s="28">
        <f t="shared" si="8"/>
        <v>3206</v>
      </c>
      <c r="C402" s="41">
        <v>1</v>
      </c>
      <c r="D402" s="42" t="s">
        <v>758</v>
      </c>
      <c r="E402" s="41" t="s">
        <v>759</v>
      </c>
      <c r="F402" s="28" t="s">
        <v>109</v>
      </c>
      <c r="G402" s="41"/>
      <c r="H402" s="41" t="s">
        <v>182</v>
      </c>
      <c r="I402" s="25" t="s">
        <v>749</v>
      </c>
      <c r="J402" s="41">
        <v>0.1</v>
      </c>
      <c r="K402" s="41"/>
      <c r="L402" s="43"/>
      <c r="M402" s="28"/>
    </row>
    <row r="403" ht="37.5" spans="2:13">
      <c r="B403" s="28">
        <f t="shared" si="8"/>
        <v>3207</v>
      </c>
      <c r="C403" s="41">
        <v>1</v>
      </c>
      <c r="D403" s="42" t="s">
        <v>760</v>
      </c>
      <c r="E403" s="41" t="s">
        <v>761</v>
      </c>
      <c r="F403" s="28" t="s">
        <v>109</v>
      </c>
      <c r="G403" s="41"/>
      <c r="H403" s="25" t="s">
        <v>114</v>
      </c>
      <c r="I403" s="25" t="s">
        <v>114</v>
      </c>
      <c r="J403" s="41">
        <v>1</v>
      </c>
      <c r="K403" s="41"/>
      <c r="L403" s="43" t="s">
        <v>762</v>
      </c>
      <c r="M403" s="28"/>
    </row>
    <row r="404" ht="18.75" spans="2:13">
      <c r="B404" s="28">
        <f t="shared" si="8"/>
        <v>3208</v>
      </c>
      <c r="C404" s="41">
        <v>1</v>
      </c>
      <c r="D404" s="42" t="s">
        <v>763</v>
      </c>
      <c r="E404" s="41" t="s">
        <v>764</v>
      </c>
      <c r="F404" s="28" t="s">
        <v>109</v>
      </c>
      <c r="G404" s="41"/>
      <c r="H404" s="25" t="s">
        <v>114</v>
      </c>
      <c r="I404" s="25" t="s">
        <v>114</v>
      </c>
      <c r="J404" s="41">
        <v>1</v>
      </c>
      <c r="K404" s="41"/>
      <c r="L404" s="43" t="s">
        <v>765</v>
      </c>
      <c r="M404" s="28"/>
    </row>
    <row r="405" ht="18.75" spans="2:13">
      <c r="B405" s="28">
        <f t="shared" si="8"/>
        <v>3209</v>
      </c>
      <c r="C405" s="41">
        <v>1</v>
      </c>
      <c r="D405" s="42" t="s">
        <v>766</v>
      </c>
      <c r="E405" s="41" t="s">
        <v>767</v>
      </c>
      <c r="F405" s="28" t="s">
        <v>109</v>
      </c>
      <c r="G405" s="41"/>
      <c r="H405" s="41" t="s">
        <v>182</v>
      </c>
      <c r="I405" s="25" t="s">
        <v>114</v>
      </c>
      <c r="J405" s="41">
        <v>0.01</v>
      </c>
      <c r="K405" s="41"/>
      <c r="L405" s="43"/>
      <c r="M405" s="28"/>
    </row>
    <row r="406" ht="18.75" spans="2:13">
      <c r="B406" s="28">
        <f t="shared" si="8"/>
        <v>3210</v>
      </c>
      <c r="C406" s="41">
        <v>1</v>
      </c>
      <c r="D406" s="42" t="s">
        <v>768</v>
      </c>
      <c r="E406" s="41" t="s">
        <v>769</v>
      </c>
      <c r="F406" s="28" t="s">
        <v>109</v>
      </c>
      <c r="G406" s="41"/>
      <c r="H406" s="41" t="s">
        <v>182</v>
      </c>
      <c r="I406" s="25" t="s">
        <v>114</v>
      </c>
      <c r="J406" s="41">
        <v>0.01</v>
      </c>
      <c r="K406" s="41"/>
      <c r="L406" s="43"/>
      <c r="M406" s="28"/>
    </row>
    <row r="407" ht="18.75" spans="2:13">
      <c r="B407" s="28">
        <f t="shared" si="8"/>
        <v>3211</v>
      </c>
      <c r="C407" s="41">
        <v>1</v>
      </c>
      <c r="D407" s="42" t="s">
        <v>770</v>
      </c>
      <c r="E407" s="41" t="s">
        <v>771</v>
      </c>
      <c r="F407" s="28" t="s">
        <v>109</v>
      </c>
      <c r="G407" s="41"/>
      <c r="H407" s="41" t="s">
        <v>182</v>
      </c>
      <c r="I407" s="25" t="s">
        <v>114</v>
      </c>
      <c r="J407" s="41">
        <v>1</v>
      </c>
      <c r="K407" s="41"/>
      <c r="L407" s="43" t="s">
        <v>772</v>
      </c>
      <c r="M407" s="44" t="s">
        <v>773</v>
      </c>
    </row>
    <row r="408" ht="18.75" spans="2:13">
      <c r="B408" s="28">
        <f t="shared" si="8"/>
        <v>3212</v>
      </c>
      <c r="C408" s="41">
        <v>1</v>
      </c>
      <c r="D408" s="42" t="s">
        <v>774</v>
      </c>
      <c r="E408" s="41" t="s">
        <v>775</v>
      </c>
      <c r="F408" s="28" t="s">
        <v>109</v>
      </c>
      <c r="G408" s="41"/>
      <c r="H408" s="41" t="s">
        <v>182</v>
      </c>
      <c r="I408" s="25" t="s">
        <v>114</v>
      </c>
      <c r="J408" s="41">
        <v>1</v>
      </c>
      <c r="K408" s="41"/>
      <c r="L408" s="43" t="s">
        <v>772</v>
      </c>
      <c r="M408" s="44" t="s">
        <v>773</v>
      </c>
    </row>
    <row r="409" ht="18.75" spans="2:13">
      <c r="B409" s="28">
        <f t="shared" si="8"/>
        <v>3213</v>
      </c>
      <c r="C409" s="41">
        <v>1</v>
      </c>
      <c r="D409" s="42" t="s">
        <v>776</v>
      </c>
      <c r="E409" s="41" t="s">
        <v>777</v>
      </c>
      <c r="F409" s="28" t="s">
        <v>109</v>
      </c>
      <c r="G409" s="41"/>
      <c r="H409" s="41" t="s">
        <v>182</v>
      </c>
      <c r="I409" s="25" t="s">
        <v>114</v>
      </c>
      <c r="J409" s="41">
        <v>0.01</v>
      </c>
      <c r="K409" s="41"/>
      <c r="L409" s="43"/>
      <c r="M409" s="28"/>
    </row>
    <row r="410" ht="18.75" spans="2:13">
      <c r="B410" s="28">
        <f t="shared" si="8"/>
        <v>3214</v>
      </c>
      <c r="C410" s="41">
        <v>1</v>
      </c>
      <c r="D410" s="42" t="s">
        <v>778</v>
      </c>
      <c r="E410" s="41" t="s">
        <v>779</v>
      </c>
      <c r="F410" s="28" t="s">
        <v>109</v>
      </c>
      <c r="G410" s="41"/>
      <c r="H410" s="25" t="s">
        <v>114</v>
      </c>
      <c r="I410" s="25" t="s">
        <v>114</v>
      </c>
      <c r="J410" s="41">
        <v>0.01</v>
      </c>
      <c r="K410" s="41"/>
      <c r="L410" s="43"/>
      <c r="M410" s="28"/>
    </row>
    <row r="411" ht="37.5" spans="2:13">
      <c r="B411" s="28">
        <f t="shared" si="8"/>
        <v>3215</v>
      </c>
      <c r="C411" s="41">
        <v>1</v>
      </c>
      <c r="D411" s="42" t="s">
        <v>780</v>
      </c>
      <c r="E411" s="41" t="s">
        <v>781</v>
      </c>
      <c r="F411" s="28" t="s">
        <v>109</v>
      </c>
      <c r="G411" s="41"/>
      <c r="H411" s="41" t="s">
        <v>182</v>
      </c>
      <c r="I411" s="25" t="s">
        <v>114</v>
      </c>
      <c r="J411" s="41">
        <v>0.01</v>
      </c>
      <c r="K411" s="41"/>
      <c r="L411" s="43"/>
      <c r="M411" s="28"/>
    </row>
    <row r="412" ht="37.5" spans="2:13">
      <c r="B412" s="28">
        <f t="shared" si="8"/>
        <v>3216</v>
      </c>
      <c r="C412" s="41">
        <v>1</v>
      </c>
      <c r="D412" s="42" t="s">
        <v>782</v>
      </c>
      <c r="E412" s="41" t="s">
        <v>783</v>
      </c>
      <c r="F412" s="28" t="s">
        <v>109</v>
      </c>
      <c r="G412" s="41"/>
      <c r="H412" s="41" t="s">
        <v>182</v>
      </c>
      <c r="I412" s="25" t="s">
        <v>114</v>
      </c>
      <c r="J412" s="41">
        <v>0.01</v>
      </c>
      <c r="K412" s="41"/>
      <c r="L412" s="43"/>
      <c r="M412" s="28"/>
    </row>
    <row r="413" ht="37.5" spans="2:13">
      <c r="B413" s="28">
        <f t="shared" si="8"/>
        <v>3217</v>
      </c>
      <c r="C413" s="41">
        <v>1</v>
      </c>
      <c r="D413" s="42" t="s">
        <v>784</v>
      </c>
      <c r="E413" s="41" t="s">
        <v>785</v>
      </c>
      <c r="F413" s="28" t="s">
        <v>109</v>
      </c>
      <c r="G413" s="41"/>
      <c r="H413" s="41" t="s">
        <v>182</v>
      </c>
      <c r="I413" s="25" t="s">
        <v>114</v>
      </c>
      <c r="J413" s="41">
        <v>0.01</v>
      </c>
      <c r="K413" s="41"/>
      <c r="L413" s="43"/>
      <c r="M413" s="28"/>
    </row>
    <row r="414" ht="18.75" spans="2:13">
      <c r="B414" s="28">
        <f t="shared" si="8"/>
        <v>3218</v>
      </c>
      <c r="C414" s="41">
        <v>1</v>
      </c>
      <c r="D414" s="42" t="s">
        <v>786</v>
      </c>
      <c r="E414" s="41" t="s">
        <v>787</v>
      </c>
      <c r="F414" s="28" t="s">
        <v>109</v>
      </c>
      <c r="G414" s="41"/>
      <c r="H414" s="25" t="s">
        <v>114</v>
      </c>
      <c r="I414" s="25" t="s">
        <v>114</v>
      </c>
      <c r="J414" s="41">
        <v>1</v>
      </c>
      <c r="K414" s="41"/>
      <c r="L414" s="43" t="s">
        <v>788</v>
      </c>
      <c r="M414" s="28"/>
    </row>
    <row r="415" ht="18.75" spans="2:13">
      <c r="B415" s="28">
        <f t="shared" si="8"/>
        <v>3219</v>
      </c>
      <c r="C415" s="41">
        <v>1</v>
      </c>
      <c r="D415" s="42" t="s">
        <v>789</v>
      </c>
      <c r="E415" s="41" t="s">
        <v>790</v>
      </c>
      <c r="F415" s="28" t="s">
        <v>109</v>
      </c>
      <c r="G415" s="41"/>
      <c r="H415" s="41" t="s">
        <v>171</v>
      </c>
      <c r="I415" s="25" t="s">
        <v>114</v>
      </c>
      <c r="J415" s="41">
        <v>1</v>
      </c>
      <c r="K415" s="41"/>
      <c r="L415" s="43" t="s">
        <v>115</v>
      </c>
      <c r="M415" s="28"/>
    </row>
    <row r="416" ht="49" customHeight="1" spans="2:13">
      <c r="B416" s="28">
        <f t="shared" si="8"/>
        <v>3220</v>
      </c>
      <c r="C416" s="41">
        <v>1</v>
      </c>
      <c r="D416" s="42" t="s">
        <v>791</v>
      </c>
      <c r="E416" s="41" t="s">
        <v>792</v>
      </c>
      <c r="F416" s="28" t="s">
        <v>109</v>
      </c>
      <c r="G416" s="41"/>
      <c r="H416" s="41" t="s">
        <v>171</v>
      </c>
      <c r="I416" s="25" t="s">
        <v>114</v>
      </c>
      <c r="J416" s="41">
        <v>1</v>
      </c>
      <c r="K416" s="41"/>
      <c r="L416" s="45" t="s">
        <v>793</v>
      </c>
      <c r="M416" s="44" t="s">
        <v>794</v>
      </c>
    </row>
    <row r="417" ht="37.5" spans="2:13">
      <c r="B417" s="28">
        <f t="shared" si="8"/>
        <v>3221</v>
      </c>
      <c r="C417" s="41">
        <v>1</v>
      </c>
      <c r="D417" s="42" t="s">
        <v>795</v>
      </c>
      <c r="E417" s="41" t="s">
        <v>796</v>
      </c>
      <c r="F417" s="28" t="s">
        <v>109</v>
      </c>
      <c r="G417" s="41"/>
      <c r="H417" s="25" t="s">
        <v>114</v>
      </c>
      <c r="I417" s="25" t="s">
        <v>114</v>
      </c>
      <c r="J417" s="41">
        <v>1</v>
      </c>
      <c r="K417" s="41"/>
      <c r="L417" s="43" t="s">
        <v>797</v>
      </c>
      <c r="M417" s="28"/>
    </row>
    <row r="418" ht="37.5" spans="2:13">
      <c r="B418" s="28">
        <f t="shared" si="8"/>
        <v>3222</v>
      </c>
      <c r="C418" s="41">
        <v>1</v>
      </c>
      <c r="D418" s="42" t="s">
        <v>798</v>
      </c>
      <c r="E418" s="41" t="s">
        <v>799</v>
      </c>
      <c r="F418" s="28" t="s">
        <v>109</v>
      </c>
      <c r="G418" s="41"/>
      <c r="H418" s="41" t="s">
        <v>182</v>
      </c>
      <c r="I418" s="25" t="s">
        <v>114</v>
      </c>
      <c r="J418" s="41">
        <v>0.01</v>
      </c>
      <c r="K418" s="41"/>
      <c r="L418" s="43"/>
      <c r="M418" s="28"/>
    </row>
    <row r="419" ht="37.5" spans="2:13">
      <c r="B419" s="28">
        <f t="shared" si="8"/>
        <v>3223</v>
      </c>
      <c r="C419" s="41">
        <v>1</v>
      </c>
      <c r="D419" s="42" t="s">
        <v>800</v>
      </c>
      <c r="E419" s="41" t="s">
        <v>801</v>
      </c>
      <c r="F419" s="28" t="s">
        <v>109</v>
      </c>
      <c r="G419" s="41"/>
      <c r="H419" s="41" t="s">
        <v>182</v>
      </c>
      <c r="I419" s="25" t="s">
        <v>114</v>
      </c>
      <c r="J419" s="41">
        <v>0.01</v>
      </c>
      <c r="K419" s="41"/>
      <c r="L419" s="43"/>
      <c r="M419" s="28"/>
    </row>
    <row r="420" ht="37.5" spans="2:13">
      <c r="B420" s="28">
        <f t="shared" si="8"/>
        <v>3224</v>
      </c>
      <c r="C420" s="41">
        <v>1</v>
      </c>
      <c r="D420" s="42" t="s">
        <v>802</v>
      </c>
      <c r="E420" s="41" t="s">
        <v>803</v>
      </c>
      <c r="F420" s="28" t="s">
        <v>109</v>
      </c>
      <c r="G420" s="41"/>
      <c r="H420" s="41" t="s">
        <v>182</v>
      </c>
      <c r="I420" s="25" t="s">
        <v>114</v>
      </c>
      <c r="J420" s="41">
        <v>0.01</v>
      </c>
      <c r="K420" s="41"/>
      <c r="L420" s="43"/>
      <c r="M420" s="28"/>
    </row>
    <row r="421" ht="37.5" spans="2:13">
      <c r="B421" s="28">
        <f t="shared" si="8"/>
        <v>3225</v>
      </c>
      <c r="C421" s="41">
        <v>1</v>
      </c>
      <c r="D421" s="42" t="s">
        <v>804</v>
      </c>
      <c r="E421" s="41" t="s">
        <v>805</v>
      </c>
      <c r="F421" s="28" t="s">
        <v>109</v>
      </c>
      <c r="G421" s="41"/>
      <c r="H421" s="41" t="s">
        <v>182</v>
      </c>
      <c r="I421" s="25" t="s">
        <v>114</v>
      </c>
      <c r="J421" s="41">
        <v>0.01</v>
      </c>
      <c r="K421" s="41"/>
      <c r="L421" s="43"/>
      <c r="M421" s="28"/>
    </row>
    <row r="422" ht="37.5" spans="2:13">
      <c r="B422" s="28">
        <f t="shared" si="8"/>
        <v>3226</v>
      </c>
      <c r="C422" s="41">
        <v>1</v>
      </c>
      <c r="D422" s="42" t="s">
        <v>806</v>
      </c>
      <c r="E422" s="41" t="s">
        <v>807</v>
      </c>
      <c r="F422" s="28" t="s">
        <v>109</v>
      </c>
      <c r="G422" s="41"/>
      <c r="H422" s="41" t="s">
        <v>182</v>
      </c>
      <c r="I422" s="25" t="s">
        <v>749</v>
      </c>
      <c r="J422" s="41">
        <v>0.01</v>
      </c>
      <c r="K422" s="41"/>
      <c r="L422" s="43"/>
      <c r="M422" s="28"/>
    </row>
    <row r="423" ht="37.5" spans="2:13">
      <c r="B423" s="28">
        <f t="shared" si="8"/>
        <v>3227</v>
      </c>
      <c r="C423" s="41">
        <v>1</v>
      </c>
      <c r="D423" s="42" t="s">
        <v>808</v>
      </c>
      <c r="E423" s="41" t="s">
        <v>809</v>
      </c>
      <c r="F423" s="28" t="s">
        <v>109</v>
      </c>
      <c r="G423" s="41"/>
      <c r="H423" s="41" t="s">
        <v>182</v>
      </c>
      <c r="I423" s="25" t="s">
        <v>749</v>
      </c>
      <c r="J423" s="41">
        <v>0.01</v>
      </c>
      <c r="K423" s="41"/>
      <c r="L423" s="43"/>
      <c r="M423" s="28"/>
    </row>
    <row r="424" ht="37.5" spans="2:13">
      <c r="B424" s="28">
        <f t="shared" si="8"/>
        <v>3228</v>
      </c>
      <c r="C424" s="41">
        <v>1</v>
      </c>
      <c r="D424" s="42" t="s">
        <v>810</v>
      </c>
      <c r="E424" s="41" t="s">
        <v>811</v>
      </c>
      <c r="F424" s="28" t="s">
        <v>109</v>
      </c>
      <c r="G424" s="41"/>
      <c r="H424" s="41" t="s">
        <v>182</v>
      </c>
      <c r="I424" s="25" t="s">
        <v>749</v>
      </c>
      <c r="J424" s="41">
        <v>0.01</v>
      </c>
      <c r="K424" s="41"/>
      <c r="L424" s="43"/>
      <c r="M424" s="28"/>
    </row>
    <row r="425" ht="18.75" spans="2:13">
      <c r="B425" s="28">
        <f t="shared" si="8"/>
        <v>3229</v>
      </c>
      <c r="C425" s="41">
        <v>1</v>
      </c>
      <c r="D425" s="42" t="s">
        <v>812</v>
      </c>
      <c r="E425" s="41" t="s">
        <v>813</v>
      </c>
      <c r="F425" s="28" t="s">
        <v>109</v>
      </c>
      <c r="G425" s="41"/>
      <c r="H425" s="41" t="s">
        <v>182</v>
      </c>
      <c r="I425" s="25" t="s">
        <v>114</v>
      </c>
      <c r="J425" s="41">
        <v>0.01</v>
      </c>
      <c r="K425" s="41"/>
      <c r="L425" s="43"/>
      <c r="M425" s="28"/>
    </row>
    <row r="426" ht="18.75" spans="2:13">
      <c r="B426" s="28">
        <f t="shared" si="8"/>
        <v>3230</v>
      </c>
      <c r="C426" s="41">
        <v>1</v>
      </c>
      <c r="D426" s="42" t="s">
        <v>814</v>
      </c>
      <c r="E426" s="41" t="s">
        <v>815</v>
      </c>
      <c r="F426" s="28" t="s">
        <v>109</v>
      </c>
      <c r="G426" s="41"/>
      <c r="H426" s="41" t="s">
        <v>182</v>
      </c>
      <c r="I426" s="25" t="s">
        <v>114</v>
      </c>
      <c r="J426" s="41">
        <v>0.01</v>
      </c>
      <c r="K426" s="41"/>
      <c r="L426" s="43"/>
      <c r="M426" s="28"/>
    </row>
    <row r="427" ht="18.75" spans="2:13">
      <c r="B427" s="28">
        <f t="shared" si="8"/>
        <v>3231</v>
      </c>
      <c r="C427" s="41">
        <v>1</v>
      </c>
      <c r="D427" s="42" t="s">
        <v>816</v>
      </c>
      <c r="E427" s="41" t="s">
        <v>817</v>
      </c>
      <c r="F427" s="28" t="s">
        <v>109</v>
      </c>
      <c r="G427" s="41"/>
      <c r="H427" s="25" t="s">
        <v>114</v>
      </c>
      <c r="I427" s="25" t="s">
        <v>114</v>
      </c>
      <c r="J427" s="41">
        <v>1</v>
      </c>
      <c r="K427" s="41"/>
      <c r="L427" s="43" t="s">
        <v>818</v>
      </c>
      <c r="M427" s="28"/>
    </row>
    <row r="428" ht="19.5" customHeight="1" spans="2:13">
      <c r="B428" s="28">
        <f t="shared" si="8"/>
        <v>3232</v>
      </c>
      <c r="C428" s="41">
        <v>1</v>
      </c>
      <c r="D428" s="42" t="s">
        <v>819</v>
      </c>
      <c r="E428" s="41" t="s">
        <v>820</v>
      </c>
      <c r="F428" s="28" t="s">
        <v>109</v>
      </c>
      <c r="G428" s="41"/>
      <c r="H428" s="41" t="s">
        <v>114</v>
      </c>
      <c r="I428" s="25" t="s">
        <v>114</v>
      </c>
      <c r="J428" s="41">
        <v>1</v>
      </c>
      <c r="K428" s="41"/>
      <c r="L428" s="43" t="s">
        <v>111</v>
      </c>
      <c r="M428" s="28"/>
    </row>
    <row r="429" ht="18.75" spans="2:13">
      <c r="B429" s="28">
        <f t="shared" si="8"/>
        <v>3233</v>
      </c>
      <c r="C429" s="41">
        <v>1</v>
      </c>
      <c r="D429" s="42" t="s">
        <v>821</v>
      </c>
      <c r="E429" s="41" t="s">
        <v>822</v>
      </c>
      <c r="F429" s="28" t="s">
        <v>109</v>
      </c>
      <c r="G429" s="25"/>
      <c r="H429" s="25" t="s">
        <v>114</v>
      </c>
      <c r="I429" s="25" t="s">
        <v>114</v>
      </c>
      <c r="J429" s="25">
        <v>1</v>
      </c>
      <c r="K429" s="25"/>
      <c r="L429" s="52" t="s">
        <v>823</v>
      </c>
      <c r="M429" s="28"/>
    </row>
    <row r="430" ht="18.75" spans="2:13">
      <c r="B430" s="28">
        <f t="shared" si="8"/>
        <v>3234</v>
      </c>
      <c r="C430" s="41">
        <v>1</v>
      </c>
      <c r="D430" s="42" t="s">
        <v>440</v>
      </c>
      <c r="E430" s="41" t="s">
        <v>824</v>
      </c>
      <c r="F430" s="28" t="s">
        <v>109</v>
      </c>
      <c r="G430" s="25"/>
      <c r="H430" s="25" t="s">
        <v>114</v>
      </c>
      <c r="I430" s="25" t="s">
        <v>114</v>
      </c>
      <c r="J430" s="25">
        <v>1</v>
      </c>
      <c r="K430" s="25"/>
      <c r="L430" s="52" t="s">
        <v>436</v>
      </c>
      <c r="M430" s="28"/>
    </row>
    <row r="431" ht="18.75" spans="2:13">
      <c r="B431" s="28">
        <f t="shared" si="8"/>
        <v>3235</v>
      </c>
      <c r="C431" s="41">
        <v>1</v>
      </c>
      <c r="D431" s="42" t="s">
        <v>124</v>
      </c>
      <c r="E431" s="41" t="s">
        <v>125</v>
      </c>
      <c r="F431" s="28" t="s">
        <v>109</v>
      </c>
      <c r="G431" s="28"/>
      <c r="H431" s="25" t="s">
        <v>114</v>
      </c>
      <c r="I431" s="25" t="s">
        <v>114</v>
      </c>
      <c r="J431" s="25">
        <v>1</v>
      </c>
      <c r="K431" s="28"/>
      <c r="L431" s="43" t="str">
        <f>_xlfn.DISPIMG("ID_3DCADE7A778749E48F0DC47B2C90F3F0",1)</f>
        <v>=DISPIMG("ID_3DCADE7A778749E48F0DC47B2C90F3F0",1)</v>
      </c>
      <c r="M431" s="44" t="s">
        <v>773</v>
      </c>
    </row>
    <row r="432" ht="18.75" spans="2:13">
      <c r="B432" s="28">
        <f t="shared" si="8"/>
        <v>3236</v>
      </c>
      <c r="C432" s="41">
        <v>1</v>
      </c>
      <c r="D432" s="42" t="s">
        <v>825</v>
      </c>
      <c r="E432" s="41" t="s">
        <v>127</v>
      </c>
      <c r="F432" s="28" t="s">
        <v>109</v>
      </c>
      <c r="G432" s="28"/>
      <c r="H432" s="25" t="s">
        <v>114</v>
      </c>
      <c r="I432" s="25" t="s">
        <v>114</v>
      </c>
      <c r="J432" s="25">
        <v>1</v>
      </c>
      <c r="K432" s="28"/>
      <c r="L432" s="43"/>
      <c r="M432" s="28"/>
    </row>
    <row r="433" ht="18.75" spans="2:13">
      <c r="B433" s="28">
        <f t="shared" si="8"/>
        <v>3237</v>
      </c>
      <c r="C433" s="41">
        <v>1</v>
      </c>
      <c r="D433" s="42" t="s">
        <v>128</v>
      </c>
      <c r="E433" s="41" t="s">
        <v>129</v>
      </c>
      <c r="F433" s="28" t="s">
        <v>109</v>
      </c>
      <c r="G433" s="28"/>
      <c r="H433" s="25" t="s">
        <v>114</v>
      </c>
      <c r="I433" s="25" t="s">
        <v>114</v>
      </c>
      <c r="J433" s="25">
        <v>1</v>
      </c>
      <c r="K433" s="28"/>
      <c r="L433" s="43"/>
      <c r="M433" s="28"/>
    </row>
    <row r="434" ht="18.75" spans="2:13">
      <c r="B434" s="28">
        <f t="shared" si="8"/>
        <v>3238</v>
      </c>
      <c r="C434" s="41">
        <v>1</v>
      </c>
      <c r="D434" s="42" t="s">
        <v>130</v>
      </c>
      <c r="E434" s="41" t="s">
        <v>131</v>
      </c>
      <c r="F434" s="28" t="s">
        <v>109</v>
      </c>
      <c r="G434" s="28"/>
      <c r="H434" s="25" t="s">
        <v>114</v>
      </c>
      <c r="I434" s="25" t="s">
        <v>114</v>
      </c>
      <c r="J434" s="25">
        <v>1</v>
      </c>
      <c r="K434" s="28"/>
      <c r="L434" s="43"/>
      <c r="M434" s="28"/>
    </row>
    <row r="435" ht="18.75" spans="2:13">
      <c r="B435" s="28">
        <f t="shared" si="8"/>
        <v>3239</v>
      </c>
      <c r="C435" s="41">
        <v>1</v>
      </c>
      <c r="D435" s="42" t="s">
        <v>132</v>
      </c>
      <c r="E435" s="41" t="s">
        <v>133</v>
      </c>
      <c r="F435" s="28" t="s">
        <v>109</v>
      </c>
      <c r="G435" s="28"/>
      <c r="H435" s="25" t="s">
        <v>114</v>
      </c>
      <c r="I435" s="25" t="s">
        <v>114</v>
      </c>
      <c r="J435" s="25">
        <v>1</v>
      </c>
      <c r="K435" s="28"/>
      <c r="L435" s="43"/>
      <c r="M435" s="28"/>
    </row>
    <row r="436" ht="18.75" spans="2:13">
      <c r="B436" s="28">
        <f t="shared" si="8"/>
        <v>3240</v>
      </c>
      <c r="C436" s="41">
        <v>1</v>
      </c>
      <c r="D436" s="42" t="s">
        <v>134</v>
      </c>
      <c r="E436" s="41" t="s">
        <v>135</v>
      </c>
      <c r="F436" s="28" t="s">
        <v>109</v>
      </c>
      <c r="G436" s="28"/>
      <c r="H436" s="25" t="s">
        <v>114</v>
      </c>
      <c r="I436" s="25" t="s">
        <v>114</v>
      </c>
      <c r="J436" s="25">
        <v>1</v>
      </c>
      <c r="K436" s="28"/>
      <c r="L436" s="43"/>
      <c r="M436" s="28"/>
    </row>
    <row r="437" ht="37.5" spans="2:13">
      <c r="B437" s="28">
        <f t="shared" si="8"/>
        <v>3241</v>
      </c>
      <c r="C437" s="41">
        <v>1</v>
      </c>
      <c r="D437" s="42" t="s">
        <v>136</v>
      </c>
      <c r="E437" s="41" t="s">
        <v>826</v>
      </c>
      <c r="F437" s="28" t="s">
        <v>109</v>
      </c>
      <c r="G437" s="28"/>
      <c r="H437" s="25" t="s">
        <v>114</v>
      </c>
      <c r="I437" s="25" t="s">
        <v>114</v>
      </c>
      <c r="J437" s="25">
        <v>1</v>
      </c>
      <c r="K437" s="28"/>
      <c r="L437" s="43"/>
      <c r="M437" s="28"/>
    </row>
    <row r="438" ht="18.75" spans="2:13">
      <c r="B438" s="28">
        <f t="shared" si="8"/>
        <v>3242</v>
      </c>
      <c r="C438" s="41">
        <v>1</v>
      </c>
      <c r="D438" s="42" t="s">
        <v>138</v>
      </c>
      <c r="E438" s="41" t="s">
        <v>827</v>
      </c>
      <c r="F438" s="28" t="s">
        <v>109</v>
      </c>
      <c r="G438" s="28"/>
      <c r="H438" s="25" t="s">
        <v>114</v>
      </c>
      <c r="I438" s="25" t="s">
        <v>114</v>
      </c>
      <c r="J438" s="25">
        <v>1</v>
      </c>
      <c r="K438" s="28"/>
      <c r="L438" s="43"/>
      <c r="M438" s="28"/>
    </row>
    <row r="439" ht="18.75" spans="2:13">
      <c r="B439" s="28">
        <f t="shared" si="8"/>
        <v>3243</v>
      </c>
      <c r="C439" s="41">
        <v>1</v>
      </c>
      <c r="D439" s="42" t="s">
        <v>140</v>
      </c>
      <c r="E439" s="41" t="s">
        <v>141</v>
      </c>
      <c r="F439" s="28" t="s">
        <v>109</v>
      </c>
      <c r="G439" s="28"/>
      <c r="H439" s="25" t="s">
        <v>114</v>
      </c>
      <c r="I439" s="25" t="s">
        <v>114</v>
      </c>
      <c r="J439" s="25">
        <v>1</v>
      </c>
      <c r="K439" s="28"/>
      <c r="L439" s="43"/>
      <c r="M439" s="28"/>
    </row>
    <row r="440" ht="18.75" spans="2:13">
      <c r="B440" s="28">
        <f t="shared" si="8"/>
        <v>3244</v>
      </c>
      <c r="C440" s="41">
        <v>1</v>
      </c>
      <c r="D440" s="42" t="s">
        <v>142</v>
      </c>
      <c r="E440" s="41" t="s">
        <v>143</v>
      </c>
      <c r="F440" s="28" t="s">
        <v>109</v>
      </c>
      <c r="G440" s="28"/>
      <c r="H440" s="25" t="s">
        <v>114</v>
      </c>
      <c r="I440" s="25" t="s">
        <v>114</v>
      </c>
      <c r="J440" s="25">
        <v>1</v>
      </c>
      <c r="K440" s="28"/>
      <c r="L440" s="43"/>
      <c r="M440" s="28"/>
    </row>
    <row r="441" ht="18.75" spans="2:13">
      <c r="B441" s="28">
        <f t="shared" si="8"/>
        <v>3245</v>
      </c>
      <c r="C441" s="41">
        <v>1</v>
      </c>
      <c r="D441" s="42" t="s">
        <v>144</v>
      </c>
      <c r="E441" s="41" t="s">
        <v>145</v>
      </c>
      <c r="F441" s="28" t="s">
        <v>109</v>
      </c>
      <c r="G441" s="28"/>
      <c r="H441" s="25" t="s">
        <v>114</v>
      </c>
      <c r="I441" s="25" t="s">
        <v>114</v>
      </c>
      <c r="J441" s="25">
        <v>1</v>
      </c>
      <c r="K441" s="28"/>
      <c r="L441" s="43"/>
      <c r="M441" s="28"/>
    </row>
    <row r="442" ht="18.75" spans="2:13">
      <c r="B442" s="28">
        <f t="shared" si="8"/>
        <v>3246</v>
      </c>
      <c r="C442" s="41">
        <v>1</v>
      </c>
      <c r="D442" s="42" t="s">
        <v>146</v>
      </c>
      <c r="E442" s="41" t="s">
        <v>147</v>
      </c>
      <c r="F442" s="28" t="s">
        <v>109</v>
      </c>
      <c r="G442" s="28"/>
      <c r="H442" s="25" t="s">
        <v>114</v>
      </c>
      <c r="I442" s="25" t="s">
        <v>114</v>
      </c>
      <c r="J442" s="25">
        <v>1</v>
      </c>
      <c r="K442" s="28"/>
      <c r="L442" s="43"/>
      <c r="M442" s="28"/>
    </row>
    <row r="443" ht="18.75" spans="2:13">
      <c r="B443" s="28">
        <f t="shared" si="8"/>
        <v>3247</v>
      </c>
      <c r="C443" s="41">
        <v>1</v>
      </c>
      <c r="D443" s="42" t="s">
        <v>828</v>
      </c>
      <c r="E443" s="41" t="s">
        <v>194</v>
      </c>
      <c r="F443" s="28" t="s">
        <v>109</v>
      </c>
      <c r="G443" s="28"/>
      <c r="H443" s="25" t="s">
        <v>114</v>
      </c>
      <c r="I443" s="25" t="s">
        <v>114</v>
      </c>
      <c r="J443" s="25">
        <v>1</v>
      </c>
      <c r="K443" s="28"/>
      <c r="L443" s="43"/>
      <c r="M443" s="28"/>
    </row>
    <row r="444" ht="18.75" spans="2:13">
      <c r="B444" s="28">
        <f t="shared" si="8"/>
        <v>3248</v>
      </c>
      <c r="C444" s="41">
        <v>1</v>
      </c>
      <c r="D444" s="42" t="s">
        <v>195</v>
      </c>
      <c r="E444" s="41" t="s">
        <v>196</v>
      </c>
      <c r="F444" s="28" t="s">
        <v>109</v>
      </c>
      <c r="G444" s="28"/>
      <c r="H444" s="25" t="s">
        <v>114</v>
      </c>
      <c r="I444" s="25" t="s">
        <v>114</v>
      </c>
      <c r="J444" s="25">
        <v>1</v>
      </c>
      <c r="K444" s="28"/>
      <c r="L444" s="43"/>
      <c r="M444" s="28"/>
    </row>
    <row r="445" ht="37.5" spans="2:13">
      <c r="B445" s="28">
        <f t="shared" si="8"/>
        <v>3249</v>
      </c>
      <c r="C445" s="41">
        <v>1</v>
      </c>
      <c r="D445" s="42" t="s">
        <v>829</v>
      </c>
      <c r="E445" s="41" t="s">
        <v>830</v>
      </c>
      <c r="F445" s="28" t="s">
        <v>109</v>
      </c>
      <c r="G445" s="28"/>
      <c r="H445" s="25" t="s">
        <v>114</v>
      </c>
      <c r="I445" s="25" t="s">
        <v>114</v>
      </c>
      <c r="J445" s="25">
        <v>1</v>
      </c>
      <c r="K445" s="28"/>
      <c r="L445" s="43"/>
      <c r="M445" s="28"/>
    </row>
    <row r="446" ht="37.5" spans="2:13">
      <c r="B446" s="28">
        <f t="shared" si="8"/>
        <v>3250</v>
      </c>
      <c r="C446" s="41">
        <v>1</v>
      </c>
      <c r="D446" s="42" t="s">
        <v>831</v>
      </c>
      <c r="E446" s="41" t="s">
        <v>832</v>
      </c>
      <c r="F446" s="28" t="s">
        <v>109</v>
      </c>
      <c r="G446" s="28"/>
      <c r="H446" s="25" t="s">
        <v>114</v>
      </c>
      <c r="I446" s="25" t="s">
        <v>114</v>
      </c>
      <c r="J446" s="25">
        <v>1</v>
      </c>
      <c r="K446" s="28"/>
      <c r="L446" s="43"/>
      <c r="M446" s="28"/>
    </row>
    <row r="447" ht="18.75" spans="2:13">
      <c r="B447" s="28">
        <f t="shared" si="8"/>
        <v>3251</v>
      </c>
      <c r="C447" s="41">
        <v>1</v>
      </c>
      <c r="D447" s="42" t="s">
        <v>187</v>
      </c>
      <c r="E447" s="41" t="s">
        <v>833</v>
      </c>
      <c r="F447" s="28" t="s">
        <v>109</v>
      </c>
      <c r="G447" s="28"/>
      <c r="H447" s="25" t="s">
        <v>114</v>
      </c>
      <c r="I447" s="25" t="s">
        <v>114</v>
      </c>
      <c r="J447" s="25">
        <v>1</v>
      </c>
      <c r="K447" s="28"/>
      <c r="L447" s="43"/>
      <c r="M447" s="28"/>
    </row>
    <row r="448" ht="18.75" spans="2:13">
      <c r="B448" s="28">
        <f t="shared" si="8"/>
        <v>3252</v>
      </c>
      <c r="C448" s="41">
        <v>1</v>
      </c>
      <c r="D448" s="42" t="s">
        <v>185</v>
      </c>
      <c r="E448" s="41" t="s">
        <v>186</v>
      </c>
      <c r="F448" s="28" t="s">
        <v>109</v>
      </c>
      <c r="G448" s="28"/>
      <c r="H448" s="25" t="s">
        <v>114</v>
      </c>
      <c r="I448" s="25" t="s">
        <v>114</v>
      </c>
      <c r="J448" s="25">
        <v>1</v>
      </c>
      <c r="K448" s="28"/>
      <c r="L448" s="43"/>
      <c r="M448" s="28"/>
    </row>
    <row r="449" ht="37.5" spans="2:13">
      <c r="B449" s="28">
        <f t="shared" si="8"/>
        <v>3253</v>
      </c>
      <c r="C449" s="41">
        <v>1</v>
      </c>
      <c r="D449" s="42" t="s">
        <v>211</v>
      </c>
      <c r="E449" s="41" t="s">
        <v>834</v>
      </c>
      <c r="F449" s="28" t="s">
        <v>109</v>
      </c>
      <c r="G449" s="28"/>
      <c r="H449" s="25" t="s">
        <v>114</v>
      </c>
      <c r="I449" s="25" t="s">
        <v>114</v>
      </c>
      <c r="J449" s="25">
        <v>1</v>
      </c>
      <c r="K449" s="28"/>
      <c r="L449" s="43"/>
      <c r="M449" s="28"/>
    </row>
    <row r="450" ht="37.5" spans="2:13">
      <c r="B450" s="28">
        <f t="shared" si="8"/>
        <v>3254</v>
      </c>
      <c r="C450" s="41">
        <v>1</v>
      </c>
      <c r="D450" s="42" t="s">
        <v>835</v>
      </c>
      <c r="E450" s="41" t="s">
        <v>836</v>
      </c>
      <c r="F450" s="28" t="s">
        <v>109</v>
      </c>
      <c r="G450" s="28"/>
      <c r="H450" s="25" t="s">
        <v>114</v>
      </c>
      <c r="I450" s="25" t="s">
        <v>114</v>
      </c>
      <c r="J450" s="25">
        <v>1</v>
      </c>
      <c r="K450" s="28"/>
      <c r="L450" s="43"/>
      <c r="M450" s="28"/>
    </row>
    <row r="451" ht="18.75" spans="2:13">
      <c r="B451" s="28">
        <f t="shared" si="8"/>
        <v>3255</v>
      </c>
      <c r="C451" s="41">
        <v>1</v>
      </c>
      <c r="D451" s="42" t="s">
        <v>837</v>
      </c>
      <c r="E451" s="41" t="s">
        <v>838</v>
      </c>
      <c r="F451" s="28" t="s">
        <v>109</v>
      </c>
      <c r="G451" s="28"/>
      <c r="H451" s="25" t="s">
        <v>114</v>
      </c>
      <c r="I451" s="25" t="s">
        <v>114</v>
      </c>
      <c r="J451" s="25">
        <v>1</v>
      </c>
      <c r="K451" s="28"/>
      <c r="L451" s="43"/>
      <c r="M451" s="28"/>
    </row>
    <row r="452" ht="18.75" spans="2:13">
      <c r="B452" s="28">
        <f t="shared" si="8"/>
        <v>3256</v>
      </c>
      <c r="C452" s="41">
        <v>1</v>
      </c>
      <c r="D452" s="42" t="s">
        <v>839</v>
      </c>
      <c r="E452" s="41" t="s">
        <v>840</v>
      </c>
      <c r="F452" s="28" t="s">
        <v>109</v>
      </c>
      <c r="G452" s="28"/>
      <c r="H452" s="25" t="s">
        <v>114</v>
      </c>
      <c r="I452" s="25" t="s">
        <v>114</v>
      </c>
      <c r="J452" s="25">
        <v>1</v>
      </c>
      <c r="K452" s="28"/>
      <c r="L452" s="43"/>
      <c r="M452" s="28"/>
    </row>
    <row r="453" ht="18.75" spans="2:13">
      <c r="B453" s="28">
        <f t="shared" si="8"/>
        <v>3257</v>
      </c>
      <c r="C453" s="41">
        <v>1</v>
      </c>
      <c r="D453" s="42" t="s">
        <v>841</v>
      </c>
      <c r="E453" s="41" t="s">
        <v>842</v>
      </c>
      <c r="F453" s="28" t="s">
        <v>109</v>
      </c>
      <c r="G453" s="28"/>
      <c r="H453" s="25" t="s">
        <v>114</v>
      </c>
      <c r="I453" s="25" t="s">
        <v>114</v>
      </c>
      <c r="J453" s="25">
        <v>1</v>
      </c>
      <c r="K453" s="28"/>
      <c r="L453" s="43"/>
      <c r="M453" s="28"/>
    </row>
    <row r="454" ht="18.75" spans="2:13">
      <c r="B454" s="28">
        <f t="shared" si="8"/>
        <v>3258</v>
      </c>
      <c r="C454" s="41">
        <v>1</v>
      </c>
      <c r="D454" s="42" t="s">
        <v>843</v>
      </c>
      <c r="E454" s="41" t="s">
        <v>844</v>
      </c>
      <c r="F454" s="28" t="s">
        <v>109</v>
      </c>
      <c r="G454" s="28"/>
      <c r="H454" s="25" t="s">
        <v>114</v>
      </c>
      <c r="I454" s="25" t="s">
        <v>114</v>
      </c>
      <c r="J454" s="25">
        <v>1</v>
      </c>
      <c r="K454" s="28"/>
      <c r="L454" s="43"/>
      <c r="M454" s="28"/>
    </row>
    <row r="455" ht="37.5" spans="2:13">
      <c r="B455" s="28">
        <f t="shared" si="8"/>
        <v>3259</v>
      </c>
      <c r="C455" s="41">
        <v>1</v>
      </c>
      <c r="D455" s="42" t="s">
        <v>197</v>
      </c>
      <c r="E455" s="41" t="s">
        <v>198</v>
      </c>
      <c r="F455" s="28" t="s">
        <v>109</v>
      </c>
      <c r="G455" s="28"/>
      <c r="H455" s="25" t="s">
        <v>114</v>
      </c>
      <c r="I455" s="25" t="s">
        <v>114</v>
      </c>
      <c r="J455" s="25">
        <v>1</v>
      </c>
      <c r="K455" s="28"/>
      <c r="L455" s="43"/>
      <c r="M455" s="28"/>
    </row>
    <row r="456" ht="37.5" spans="2:13">
      <c r="B456" s="28">
        <f t="shared" si="8"/>
        <v>3260</v>
      </c>
      <c r="C456" s="41">
        <v>1</v>
      </c>
      <c r="D456" s="42" t="s">
        <v>199</v>
      </c>
      <c r="E456" s="41" t="s">
        <v>200</v>
      </c>
      <c r="F456" s="28" t="s">
        <v>109</v>
      </c>
      <c r="G456" s="28"/>
      <c r="H456" s="25" t="s">
        <v>114</v>
      </c>
      <c r="I456" s="25" t="s">
        <v>114</v>
      </c>
      <c r="J456" s="25">
        <v>1</v>
      </c>
      <c r="K456" s="28"/>
      <c r="L456" s="43"/>
      <c r="M456" s="28"/>
    </row>
    <row r="457" ht="37.5" spans="2:13">
      <c r="B457" s="28">
        <f t="shared" si="8"/>
        <v>3261</v>
      </c>
      <c r="C457" s="41">
        <v>1</v>
      </c>
      <c r="D457" s="42" t="s">
        <v>201</v>
      </c>
      <c r="E457" s="41" t="s">
        <v>202</v>
      </c>
      <c r="F457" s="28" t="s">
        <v>109</v>
      </c>
      <c r="G457" s="28"/>
      <c r="H457" s="25" t="s">
        <v>114</v>
      </c>
      <c r="I457" s="25" t="s">
        <v>114</v>
      </c>
      <c r="J457" s="25">
        <v>1</v>
      </c>
      <c r="K457" s="28"/>
      <c r="L457" s="43"/>
      <c r="M457" s="28"/>
    </row>
    <row r="458" ht="37.5" spans="2:13">
      <c r="B458" s="28">
        <f t="shared" si="8"/>
        <v>3262</v>
      </c>
      <c r="C458" s="41">
        <v>1</v>
      </c>
      <c r="D458" s="42" t="s">
        <v>203</v>
      </c>
      <c r="E458" s="41" t="s">
        <v>204</v>
      </c>
      <c r="F458" s="28" t="s">
        <v>109</v>
      </c>
      <c r="G458" s="28"/>
      <c r="H458" s="25" t="s">
        <v>114</v>
      </c>
      <c r="I458" s="25" t="s">
        <v>114</v>
      </c>
      <c r="J458" s="25">
        <v>1</v>
      </c>
      <c r="K458" s="28"/>
      <c r="L458" s="43"/>
      <c r="M458" s="28"/>
    </row>
    <row r="459" ht="18.75" spans="2:13">
      <c r="B459" s="28">
        <f t="shared" si="8"/>
        <v>3263</v>
      </c>
      <c r="C459" s="41">
        <v>1</v>
      </c>
      <c r="D459" s="42" t="s">
        <v>845</v>
      </c>
      <c r="E459" s="41" t="s">
        <v>846</v>
      </c>
      <c r="F459" s="28" t="s">
        <v>109</v>
      </c>
      <c r="G459" s="28"/>
      <c r="H459" s="25" t="s">
        <v>114</v>
      </c>
      <c r="I459" s="25" t="s">
        <v>114</v>
      </c>
      <c r="J459" s="25">
        <v>1</v>
      </c>
      <c r="K459" s="28"/>
      <c r="L459" s="43" t="s">
        <v>847</v>
      </c>
      <c r="M459" s="44" t="s">
        <v>848</v>
      </c>
    </row>
    <row r="460" ht="18.75" spans="2:13">
      <c r="B460" s="28">
        <f t="shared" si="8"/>
        <v>3264</v>
      </c>
      <c r="C460" s="41">
        <v>1</v>
      </c>
      <c r="D460" s="42" t="s">
        <v>849</v>
      </c>
      <c r="E460" s="41" t="s">
        <v>850</v>
      </c>
      <c r="F460" s="28" t="s">
        <v>109</v>
      </c>
      <c r="G460" s="28"/>
      <c r="H460" s="25" t="s">
        <v>114</v>
      </c>
      <c r="I460" s="25" t="s">
        <v>114</v>
      </c>
      <c r="J460" s="25">
        <v>1</v>
      </c>
      <c r="K460" s="28"/>
      <c r="L460" s="43" t="s">
        <v>851</v>
      </c>
      <c r="M460" s="44" t="s">
        <v>852</v>
      </c>
    </row>
    <row r="461" ht="18.75" spans="2:13">
      <c r="B461" s="28">
        <f t="shared" ref="B461:B499" si="9">B460+C460</f>
        <v>3265</v>
      </c>
      <c r="C461" s="41">
        <v>1</v>
      </c>
      <c r="D461" s="42" t="s">
        <v>853</v>
      </c>
      <c r="E461" s="41" t="s">
        <v>854</v>
      </c>
      <c r="F461" s="28" t="s">
        <v>109</v>
      </c>
      <c r="G461" s="28"/>
      <c r="H461" s="25" t="s">
        <v>114</v>
      </c>
      <c r="I461" s="25" t="s">
        <v>114</v>
      </c>
      <c r="J461" s="25">
        <v>1</v>
      </c>
      <c r="K461" s="28"/>
      <c r="L461" s="43" t="s">
        <v>855</v>
      </c>
      <c r="M461" s="44" t="s">
        <v>852</v>
      </c>
    </row>
    <row r="462" ht="18.75" spans="2:13">
      <c r="B462" s="28">
        <f t="shared" si="9"/>
        <v>3266</v>
      </c>
      <c r="C462" s="41">
        <v>1</v>
      </c>
      <c r="D462" s="42" t="s">
        <v>856</v>
      </c>
      <c r="E462" s="41" t="s">
        <v>857</v>
      </c>
      <c r="F462" s="28" t="s">
        <v>109</v>
      </c>
      <c r="G462" s="28"/>
      <c r="H462" s="25" t="s">
        <v>114</v>
      </c>
      <c r="I462" s="25" t="s">
        <v>114</v>
      </c>
      <c r="J462" s="25">
        <v>1</v>
      </c>
      <c r="K462" s="28"/>
      <c r="L462" s="43" t="s">
        <v>858</v>
      </c>
      <c r="M462" s="44" t="s">
        <v>852</v>
      </c>
    </row>
    <row r="463" ht="131.25" spans="2:13">
      <c r="B463" s="28">
        <f t="shared" si="9"/>
        <v>3267</v>
      </c>
      <c r="C463" s="41">
        <v>1</v>
      </c>
      <c r="D463" s="42" t="s">
        <v>859</v>
      </c>
      <c r="E463" s="41" t="s">
        <v>860</v>
      </c>
      <c r="F463" s="28" t="s">
        <v>109</v>
      </c>
      <c r="G463" s="28"/>
      <c r="H463" s="25" t="s">
        <v>114</v>
      </c>
      <c r="I463" s="25" t="s">
        <v>114</v>
      </c>
      <c r="J463" s="25">
        <v>1</v>
      </c>
      <c r="K463" s="28"/>
      <c r="L463" s="43" t="s">
        <v>861</v>
      </c>
      <c r="M463" s="44" t="s">
        <v>852</v>
      </c>
    </row>
    <row r="464" ht="168.75" spans="2:13">
      <c r="B464" s="28">
        <f t="shared" si="9"/>
        <v>3268</v>
      </c>
      <c r="C464" s="41">
        <v>1</v>
      </c>
      <c r="D464" s="42" t="s">
        <v>862</v>
      </c>
      <c r="E464" s="41" t="s">
        <v>863</v>
      </c>
      <c r="F464" s="28" t="s">
        <v>109</v>
      </c>
      <c r="G464" s="28"/>
      <c r="H464" s="25" t="s">
        <v>114</v>
      </c>
      <c r="I464" s="25" t="s">
        <v>114</v>
      </c>
      <c r="J464" s="25">
        <v>1</v>
      </c>
      <c r="K464" s="28"/>
      <c r="L464" s="43" t="s">
        <v>864</v>
      </c>
      <c r="M464" s="44" t="s">
        <v>852</v>
      </c>
    </row>
    <row r="465" ht="18.75" spans="2:13">
      <c r="B465" s="28">
        <f t="shared" si="9"/>
        <v>3269</v>
      </c>
      <c r="C465" s="41">
        <v>1</v>
      </c>
      <c r="D465" s="42" t="s">
        <v>865</v>
      </c>
      <c r="E465" s="41" t="s">
        <v>866</v>
      </c>
      <c r="F465" s="28" t="s">
        <v>109</v>
      </c>
      <c r="G465" s="28"/>
      <c r="H465" s="25" t="s">
        <v>114</v>
      </c>
      <c r="I465" s="25" t="s">
        <v>114</v>
      </c>
      <c r="J465" s="25">
        <v>1</v>
      </c>
      <c r="K465" s="28"/>
      <c r="L465" s="43" t="s">
        <v>867</v>
      </c>
      <c r="M465" s="44" t="s">
        <v>852</v>
      </c>
    </row>
    <row r="466" ht="18.75" spans="2:13">
      <c r="B466" s="28">
        <f t="shared" si="9"/>
        <v>3270</v>
      </c>
      <c r="C466" s="25">
        <v>2</v>
      </c>
      <c r="D466" s="42" t="s">
        <v>148</v>
      </c>
      <c r="E466" s="41" t="s">
        <v>148</v>
      </c>
      <c r="F466" s="28" t="s">
        <v>109</v>
      </c>
      <c r="G466" s="28" t="s">
        <v>149</v>
      </c>
      <c r="H466" s="41" t="s">
        <v>182</v>
      </c>
      <c r="I466" s="25" t="s">
        <v>110</v>
      </c>
      <c r="J466" s="28">
        <v>0.001</v>
      </c>
      <c r="K466" s="28"/>
      <c r="L466" s="43"/>
      <c r="M466" s="28"/>
    </row>
    <row r="467" ht="18.75" spans="2:13">
      <c r="B467" s="28">
        <f t="shared" si="9"/>
        <v>3272</v>
      </c>
      <c r="C467" s="25">
        <v>2</v>
      </c>
      <c r="D467" s="42" t="s">
        <v>152</v>
      </c>
      <c r="E467" s="41" t="s">
        <v>152</v>
      </c>
      <c r="F467" s="28" t="s">
        <v>109</v>
      </c>
      <c r="G467" s="28" t="s">
        <v>149</v>
      </c>
      <c r="H467" s="41" t="s">
        <v>182</v>
      </c>
      <c r="I467" s="25" t="s">
        <v>110</v>
      </c>
      <c r="J467" s="28">
        <v>0.001</v>
      </c>
      <c r="K467" s="28"/>
      <c r="L467" s="43"/>
      <c r="M467" s="28"/>
    </row>
    <row r="468" ht="18.75" spans="2:13">
      <c r="B468" s="28">
        <f t="shared" si="9"/>
        <v>3274</v>
      </c>
      <c r="C468" s="25">
        <v>2</v>
      </c>
      <c r="D468" s="42" t="s">
        <v>153</v>
      </c>
      <c r="E468" s="41" t="s">
        <v>154</v>
      </c>
      <c r="F468" s="28" t="s">
        <v>109</v>
      </c>
      <c r="G468" s="28" t="s">
        <v>155</v>
      </c>
      <c r="H468" s="41" t="s">
        <v>182</v>
      </c>
      <c r="I468" s="25" t="s">
        <v>110</v>
      </c>
      <c r="J468" s="28">
        <v>0.001</v>
      </c>
      <c r="K468" s="28"/>
      <c r="L468" s="43"/>
      <c r="M468" s="28"/>
    </row>
    <row r="469" ht="18.75" spans="2:13">
      <c r="B469" s="28">
        <f t="shared" si="9"/>
        <v>3276</v>
      </c>
      <c r="C469" s="25">
        <v>2</v>
      </c>
      <c r="D469" s="42" t="s">
        <v>156</v>
      </c>
      <c r="E469" s="41" t="s">
        <v>157</v>
      </c>
      <c r="F469" s="28" t="s">
        <v>109</v>
      </c>
      <c r="G469" s="28" t="s">
        <v>155</v>
      </c>
      <c r="H469" s="41" t="s">
        <v>182</v>
      </c>
      <c r="I469" s="25" t="s">
        <v>110</v>
      </c>
      <c r="J469" s="28">
        <v>0.001</v>
      </c>
      <c r="K469" s="28"/>
      <c r="L469" s="43"/>
      <c r="M469" s="28"/>
    </row>
    <row r="470" ht="18.75" spans="2:13">
      <c r="B470" s="28">
        <f t="shared" si="9"/>
        <v>3278</v>
      </c>
      <c r="C470" s="25">
        <v>2</v>
      </c>
      <c r="D470" s="42" t="s">
        <v>158</v>
      </c>
      <c r="E470" s="41" t="s">
        <v>159</v>
      </c>
      <c r="F470" s="28" t="s">
        <v>109</v>
      </c>
      <c r="G470" s="28" t="s">
        <v>155</v>
      </c>
      <c r="H470" s="41" t="s">
        <v>182</v>
      </c>
      <c r="I470" s="25" t="s">
        <v>110</v>
      </c>
      <c r="J470" s="28">
        <v>0.001</v>
      </c>
      <c r="K470" s="28"/>
      <c r="L470" s="43"/>
      <c r="M470" s="28"/>
    </row>
    <row r="471" ht="18.75" spans="2:13">
      <c r="B471" s="28">
        <f t="shared" si="9"/>
        <v>3280</v>
      </c>
      <c r="C471" s="25">
        <v>2</v>
      </c>
      <c r="D471" s="42" t="s">
        <v>160</v>
      </c>
      <c r="E471" s="41" t="s">
        <v>161</v>
      </c>
      <c r="F471" s="28" t="s">
        <v>109</v>
      </c>
      <c r="G471" s="28" t="s">
        <v>155</v>
      </c>
      <c r="H471" s="41" t="s">
        <v>182</v>
      </c>
      <c r="I471" s="25" t="s">
        <v>110</v>
      </c>
      <c r="J471" s="28">
        <v>0.001</v>
      </c>
      <c r="K471" s="28"/>
      <c r="L471" s="43"/>
      <c r="M471" s="28"/>
    </row>
    <row r="472" ht="18.75" spans="2:13">
      <c r="B472" s="28">
        <f t="shared" si="9"/>
        <v>3282</v>
      </c>
      <c r="C472" s="25">
        <v>1</v>
      </c>
      <c r="D472" s="42" t="s">
        <v>228</v>
      </c>
      <c r="E472" s="41" t="s">
        <v>229</v>
      </c>
      <c r="F472" s="28" t="s">
        <v>109</v>
      </c>
      <c r="G472" s="28"/>
      <c r="H472" s="25" t="s">
        <v>114</v>
      </c>
      <c r="I472" s="25" t="s">
        <v>114</v>
      </c>
      <c r="J472" s="25">
        <v>1</v>
      </c>
      <c r="K472" s="28"/>
      <c r="L472" s="43" t="s">
        <v>868</v>
      </c>
      <c r="M472" s="28"/>
    </row>
    <row r="473" ht="18.75" spans="2:13">
      <c r="B473" s="28">
        <f t="shared" si="9"/>
        <v>3283</v>
      </c>
      <c r="C473" s="25">
        <v>1</v>
      </c>
      <c r="D473" s="42" t="s">
        <v>232</v>
      </c>
      <c r="E473" s="41" t="s">
        <v>869</v>
      </c>
      <c r="F473" s="28" t="s">
        <v>109</v>
      </c>
      <c r="G473" s="28"/>
      <c r="H473" s="25" t="s">
        <v>114</v>
      </c>
      <c r="I473" s="25" t="s">
        <v>114</v>
      </c>
      <c r="J473" s="25">
        <v>1</v>
      </c>
      <c r="K473" s="28"/>
      <c r="L473" s="43" t="s">
        <v>868</v>
      </c>
      <c r="M473" s="28"/>
    </row>
    <row r="474" ht="18.75" spans="2:13">
      <c r="B474" s="28">
        <f t="shared" si="9"/>
        <v>3284</v>
      </c>
      <c r="C474" s="25">
        <v>2</v>
      </c>
      <c r="D474" s="42" t="s">
        <v>870</v>
      </c>
      <c r="E474" s="41" t="s">
        <v>871</v>
      </c>
      <c r="F474" s="28" t="s">
        <v>109</v>
      </c>
      <c r="G474" s="28" t="s">
        <v>270</v>
      </c>
      <c r="H474" s="25" t="s">
        <v>110</v>
      </c>
      <c r="I474" s="25" t="s">
        <v>110</v>
      </c>
      <c r="J474" s="25">
        <v>1</v>
      </c>
      <c r="K474" s="28"/>
      <c r="L474" s="43"/>
      <c r="M474" s="28"/>
    </row>
    <row r="475" ht="18.75" spans="2:13">
      <c r="B475" s="28">
        <f t="shared" si="9"/>
        <v>3286</v>
      </c>
      <c r="C475" s="25">
        <v>2</v>
      </c>
      <c r="D475" s="42" t="s">
        <v>872</v>
      </c>
      <c r="E475" s="41" t="s">
        <v>873</v>
      </c>
      <c r="F475" s="28" t="s">
        <v>109</v>
      </c>
      <c r="G475" s="28" t="s">
        <v>155</v>
      </c>
      <c r="H475" s="25" t="s">
        <v>110</v>
      </c>
      <c r="I475" s="25" t="s">
        <v>110</v>
      </c>
      <c r="J475" s="25">
        <v>1</v>
      </c>
      <c r="K475" s="28"/>
      <c r="L475" s="43"/>
      <c r="M475" s="28"/>
    </row>
    <row r="476" ht="18.75" spans="2:13">
      <c r="B476" s="28">
        <f t="shared" si="9"/>
        <v>3288</v>
      </c>
      <c r="C476" s="25">
        <v>1</v>
      </c>
      <c r="D476" s="42" t="s">
        <v>874</v>
      </c>
      <c r="E476" s="41" t="s">
        <v>875</v>
      </c>
      <c r="F476" s="28" t="s">
        <v>109</v>
      </c>
      <c r="G476" s="28"/>
      <c r="H476" s="25" t="s">
        <v>114</v>
      </c>
      <c r="I476" s="25" t="s">
        <v>114</v>
      </c>
      <c r="J476" s="25">
        <v>1</v>
      </c>
      <c r="K476" s="28"/>
      <c r="L476" s="43"/>
      <c r="M476" s="28"/>
    </row>
    <row r="477" ht="37.5" spans="2:13">
      <c r="B477" s="28">
        <f t="shared" si="9"/>
        <v>3289</v>
      </c>
      <c r="C477" s="25">
        <v>2</v>
      </c>
      <c r="D477" s="42" t="s">
        <v>876</v>
      </c>
      <c r="E477" s="41" t="s">
        <v>877</v>
      </c>
      <c r="F477" s="28" t="s">
        <v>109</v>
      </c>
      <c r="G477" s="28"/>
      <c r="H477" s="41" t="s">
        <v>182</v>
      </c>
      <c r="I477" s="25" t="s">
        <v>878</v>
      </c>
      <c r="J477" s="28">
        <v>0.001</v>
      </c>
      <c r="K477" s="28"/>
      <c r="L477" s="43" t="s">
        <v>879</v>
      </c>
      <c r="M477" s="44" t="s">
        <v>773</v>
      </c>
    </row>
    <row r="478" ht="37.5" spans="2:13">
      <c r="B478" s="28">
        <f t="shared" si="9"/>
        <v>3291</v>
      </c>
      <c r="C478" s="25">
        <v>2</v>
      </c>
      <c r="D478" s="42" t="s">
        <v>880</v>
      </c>
      <c r="E478" s="41" t="s">
        <v>881</v>
      </c>
      <c r="F478" s="28" t="s">
        <v>109</v>
      </c>
      <c r="G478" s="28"/>
      <c r="H478" s="41" t="s">
        <v>182</v>
      </c>
      <c r="I478" s="25" t="s">
        <v>878</v>
      </c>
      <c r="J478" s="28">
        <v>0.001</v>
      </c>
      <c r="K478" s="28"/>
      <c r="L478" s="43" t="s">
        <v>879</v>
      </c>
      <c r="M478" s="44" t="s">
        <v>773</v>
      </c>
    </row>
    <row r="479" ht="37.5" spans="2:13">
      <c r="B479" s="28">
        <f t="shared" si="9"/>
        <v>3293</v>
      </c>
      <c r="C479" s="25">
        <v>2</v>
      </c>
      <c r="D479" s="42" t="s">
        <v>882</v>
      </c>
      <c r="E479" s="41" t="s">
        <v>883</v>
      </c>
      <c r="F479" s="28" t="s">
        <v>109</v>
      </c>
      <c r="G479" s="28"/>
      <c r="H479" s="41" t="s">
        <v>182</v>
      </c>
      <c r="I479" s="25" t="s">
        <v>878</v>
      </c>
      <c r="J479" s="28">
        <v>0.001</v>
      </c>
      <c r="K479" s="28"/>
      <c r="L479" s="43"/>
      <c r="M479" s="28"/>
    </row>
    <row r="480" ht="37.5" spans="2:13">
      <c r="B480" s="28">
        <f t="shared" si="9"/>
        <v>3295</v>
      </c>
      <c r="C480" s="25">
        <v>2</v>
      </c>
      <c r="D480" s="42" t="s">
        <v>752</v>
      </c>
      <c r="E480" s="41" t="s">
        <v>884</v>
      </c>
      <c r="F480" s="28" t="s">
        <v>109</v>
      </c>
      <c r="G480" s="28"/>
      <c r="H480" s="41" t="s">
        <v>182</v>
      </c>
      <c r="I480" s="25" t="s">
        <v>878</v>
      </c>
      <c r="J480" s="28">
        <v>0.001</v>
      </c>
      <c r="K480" s="28"/>
      <c r="L480" s="43"/>
      <c r="M480" s="28"/>
    </row>
    <row r="481" ht="18.75" spans="2:13">
      <c r="B481" s="28">
        <f t="shared" si="9"/>
        <v>3297</v>
      </c>
      <c r="C481" s="25">
        <v>2</v>
      </c>
      <c r="D481" s="42" t="s">
        <v>885</v>
      </c>
      <c r="E481" s="41" t="s">
        <v>886</v>
      </c>
      <c r="F481" s="28" t="s">
        <v>109</v>
      </c>
      <c r="G481" s="28"/>
      <c r="H481" s="41" t="s">
        <v>182</v>
      </c>
      <c r="I481" s="25" t="s">
        <v>878</v>
      </c>
      <c r="J481" s="28">
        <v>0.001</v>
      </c>
      <c r="K481" s="28"/>
      <c r="L481" s="43"/>
      <c r="M481" s="28"/>
    </row>
    <row r="482" ht="18.75" spans="2:13">
      <c r="B482" s="28">
        <f t="shared" si="9"/>
        <v>3299</v>
      </c>
      <c r="C482" s="25">
        <v>2</v>
      </c>
      <c r="D482" s="42" t="s">
        <v>887</v>
      </c>
      <c r="E482" s="41" t="s">
        <v>888</v>
      </c>
      <c r="F482" s="28" t="s">
        <v>109</v>
      </c>
      <c r="G482" s="28"/>
      <c r="H482" s="41" t="s">
        <v>182</v>
      </c>
      <c r="I482" s="25" t="s">
        <v>878</v>
      </c>
      <c r="J482" s="28">
        <v>0.001</v>
      </c>
      <c r="K482" s="28"/>
      <c r="L482" s="43"/>
      <c r="M482" s="28"/>
    </row>
    <row r="483" ht="18.75" spans="2:13">
      <c r="B483" s="28">
        <f t="shared" si="9"/>
        <v>3301</v>
      </c>
      <c r="C483" s="25">
        <v>2</v>
      </c>
      <c r="D483" s="42" t="s">
        <v>889</v>
      </c>
      <c r="E483" s="41" t="s">
        <v>890</v>
      </c>
      <c r="F483" s="28" t="s">
        <v>109</v>
      </c>
      <c r="G483" s="28"/>
      <c r="H483" s="41" t="s">
        <v>182</v>
      </c>
      <c r="I483" s="25" t="s">
        <v>878</v>
      </c>
      <c r="J483" s="28">
        <v>0.001</v>
      </c>
      <c r="K483" s="28"/>
      <c r="L483" s="43"/>
      <c r="M483" s="28"/>
    </row>
    <row r="484" ht="18.75" spans="2:13">
      <c r="B484" s="28">
        <f t="shared" si="9"/>
        <v>3303</v>
      </c>
      <c r="C484" s="25">
        <v>2</v>
      </c>
      <c r="D484" s="42" t="s">
        <v>891</v>
      </c>
      <c r="E484" s="41" t="s">
        <v>892</v>
      </c>
      <c r="F484" s="28" t="s">
        <v>109</v>
      </c>
      <c r="G484" s="28"/>
      <c r="H484" s="41" t="s">
        <v>182</v>
      </c>
      <c r="I484" s="25" t="s">
        <v>878</v>
      </c>
      <c r="J484" s="28">
        <v>0.001</v>
      </c>
      <c r="K484" s="28"/>
      <c r="L484" s="43"/>
      <c r="M484" s="28"/>
    </row>
    <row r="485" ht="18.75" spans="2:13">
      <c r="B485" s="28">
        <f t="shared" si="9"/>
        <v>3305</v>
      </c>
      <c r="C485" s="25">
        <v>2</v>
      </c>
      <c r="D485" s="42" t="s">
        <v>893</v>
      </c>
      <c r="E485" s="41" t="s">
        <v>894</v>
      </c>
      <c r="F485" s="28" t="s">
        <v>109</v>
      </c>
      <c r="G485" s="28"/>
      <c r="H485" s="41" t="s">
        <v>182</v>
      </c>
      <c r="I485" s="25" t="s">
        <v>878</v>
      </c>
      <c r="J485" s="28">
        <v>0.001</v>
      </c>
      <c r="K485" s="28"/>
      <c r="L485" s="43"/>
      <c r="M485" s="28"/>
    </row>
    <row r="486" ht="18.75" spans="2:13">
      <c r="B486" s="28">
        <f t="shared" si="9"/>
        <v>3307</v>
      </c>
      <c r="C486" s="25">
        <v>1</v>
      </c>
      <c r="D486" s="42" t="s">
        <v>107</v>
      </c>
      <c r="E486" s="41" t="s">
        <v>108</v>
      </c>
      <c r="F486" s="28" t="s">
        <v>109</v>
      </c>
      <c r="G486" s="28"/>
      <c r="H486" s="25" t="s">
        <v>114</v>
      </c>
      <c r="I486" s="25" t="s">
        <v>114</v>
      </c>
      <c r="J486" s="25">
        <v>1</v>
      </c>
      <c r="K486" s="28"/>
      <c r="L486" s="43" t="s">
        <v>895</v>
      </c>
      <c r="M486" s="28"/>
    </row>
    <row r="487" ht="18.75" spans="2:13">
      <c r="B487" s="28">
        <f t="shared" si="9"/>
        <v>3308</v>
      </c>
      <c r="C487" s="25">
        <v>2</v>
      </c>
      <c r="D487" s="42" t="s">
        <v>180</v>
      </c>
      <c r="E487" s="41" t="s">
        <v>896</v>
      </c>
      <c r="F487" s="28" t="s">
        <v>109</v>
      </c>
      <c r="G487" s="28"/>
      <c r="H487" s="41" t="s">
        <v>182</v>
      </c>
      <c r="I487" s="25" t="s">
        <v>878</v>
      </c>
      <c r="J487" s="28">
        <v>0.001</v>
      </c>
      <c r="K487" s="28"/>
      <c r="L487" s="43"/>
      <c r="M487" s="28"/>
    </row>
    <row r="488" ht="18.75" spans="2:13">
      <c r="B488" s="28">
        <f t="shared" si="9"/>
        <v>3310</v>
      </c>
      <c r="C488" s="25">
        <v>2</v>
      </c>
      <c r="D488" s="42" t="s">
        <v>183</v>
      </c>
      <c r="E488" s="41" t="s">
        <v>184</v>
      </c>
      <c r="F488" s="28" t="s">
        <v>109</v>
      </c>
      <c r="G488" s="28"/>
      <c r="H488" s="41" t="s">
        <v>182</v>
      </c>
      <c r="I488" s="25" t="s">
        <v>878</v>
      </c>
      <c r="J488" s="28">
        <v>0.001</v>
      </c>
      <c r="K488" s="28"/>
      <c r="L488" s="43"/>
      <c r="M488" s="28"/>
    </row>
    <row r="489" ht="18.75" spans="2:13">
      <c r="B489" s="28">
        <f t="shared" si="9"/>
        <v>3312</v>
      </c>
      <c r="C489" s="25">
        <v>1</v>
      </c>
      <c r="D489" s="42" t="s">
        <v>897</v>
      </c>
      <c r="E489" s="41" t="s">
        <v>898</v>
      </c>
      <c r="F489" s="28" t="s">
        <v>109</v>
      </c>
      <c r="G489" s="28"/>
      <c r="H489" s="25" t="s">
        <v>114</v>
      </c>
      <c r="I489" s="25" t="s">
        <v>114</v>
      </c>
      <c r="J489" s="25">
        <v>1</v>
      </c>
      <c r="K489" s="28"/>
      <c r="L489" s="43" t="s">
        <v>899</v>
      </c>
      <c r="M489" s="28"/>
    </row>
    <row r="490" ht="18.75" spans="2:13">
      <c r="B490" s="28">
        <f t="shared" si="9"/>
        <v>3313</v>
      </c>
      <c r="C490" s="25">
        <v>1</v>
      </c>
      <c r="D490" s="42" t="s">
        <v>900</v>
      </c>
      <c r="E490" s="41" t="s">
        <v>901</v>
      </c>
      <c r="F490" s="28" t="s">
        <v>109</v>
      </c>
      <c r="G490" s="28"/>
      <c r="H490" s="25" t="s">
        <v>114</v>
      </c>
      <c r="I490" s="25" t="s">
        <v>114</v>
      </c>
      <c r="J490" s="25">
        <v>1</v>
      </c>
      <c r="K490" s="28"/>
      <c r="L490" s="43" t="s">
        <v>902</v>
      </c>
      <c r="M490" s="28"/>
    </row>
    <row r="491" ht="18.75" spans="2:13">
      <c r="B491" s="28">
        <f t="shared" si="9"/>
        <v>3314</v>
      </c>
      <c r="C491" s="25">
        <v>1</v>
      </c>
      <c r="D491" s="42" t="s">
        <v>903</v>
      </c>
      <c r="E491" s="41" t="s">
        <v>904</v>
      </c>
      <c r="F491" s="28" t="s">
        <v>109</v>
      </c>
      <c r="G491" s="28"/>
      <c r="H491" s="25" t="s">
        <v>114</v>
      </c>
      <c r="I491" s="25" t="s">
        <v>114</v>
      </c>
      <c r="J491" s="25">
        <v>1</v>
      </c>
      <c r="K491" s="28"/>
      <c r="L491" s="43" t="s">
        <v>905</v>
      </c>
      <c r="M491" s="44" t="s">
        <v>906</v>
      </c>
    </row>
    <row r="492" ht="18.75" spans="2:13">
      <c r="B492" s="28">
        <f t="shared" si="9"/>
        <v>3315</v>
      </c>
      <c r="C492" s="25">
        <v>2</v>
      </c>
      <c r="D492" s="42" t="s">
        <v>221</v>
      </c>
      <c r="E492" s="41" t="s">
        <v>222</v>
      </c>
      <c r="F492" s="28" t="s">
        <v>109</v>
      </c>
      <c r="G492" s="28"/>
      <c r="H492" s="41" t="s">
        <v>182</v>
      </c>
      <c r="I492" s="25" t="s">
        <v>878</v>
      </c>
      <c r="J492" s="28">
        <v>0.001</v>
      </c>
      <c r="K492" s="28"/>
      <c r="L492" s="43"/>
      <c r="M492" s="28"/>
    </row>
    <row r="493" ht="18.75" spans="2:13">
      <c r="B493" s="28">
        <f t="shared" si="9"/>
        <v>3317</v>
      </c>
      <c r="C493" s="25">
        <v>2</v>
      </c>
      <c r="D493" s="42" t="s">
        <v>223</v>
      </c>
      <c r="E493" s="41" t="s">
        <v>224</v>
      </c>
      <c r="F493" s="28" t="s">
        <v>109</v>
      </c>
      <c r="G493" s="28"/>
      <c r="H493" s="41" t="s">
        <v>182</v>
      </c>
      <c r="I493" s="25" t="s">
        <v>878</v>
      </c>
      <c r="J493" s="28">
        <v>0.001</v>
      </c>
      <c r="K493" s="28"/>
      <c r="L493" s="43"/>
      <c r="M493" s="28"/>
    </row>
    <row r="494" ht="18.75" spans="2:13">
      <c r="B494" s="28">
        <f t="shared" si="9"/>
        <v>3319</v>
      </c>
      <c r="C494" s="25">
        <v>2</v>
      </c>
      <c r="D494" s="42" t="s">
        <v>225</v>
      </c>
      <c r="E494" s="41" t="s">
        <v>226</v>
      </c>
      <c r="F494" s="28" t="s">
        <v>109</v>
      </c>
      <c r="G494" s="28"/>
      <c r="H494" s="41" t="s">
        <v>182</v>
      </c>
      <c r="I494" s="25" t="s">
        <v>878</v>
      </c>
      <c r="J494" s="28">
        <v>0.001</v>
      </c>
      <c r="K494" s="28"/>
      <c r="L494" s="43"/>
      <c r="M494" s="28"/>
    </row>
    <row r="495" ht="37.5" spans="2:13">
      <c r="B495" s="28">
        <f t="shared" si="9"/>
        <v>3321</v>
      </c>
      <c r="C495" s="41">
        <v>13</v>
      </c>
      <c r="D495" s="42" t="s">
        <v>907</v>
      </c>
      <c r="E495" s="41" t="s">
        <v>908</v>
      </c>
      <c r="F495" s="28" t="s">
        <v>109</v>
      </c>
      <c r="G495" s="28"/>
      <c r="H495" s="41" t="s">
        <v>454</v>
      </c>
      <c r="I495" s="41" t="s">
        <v>454</v>
      </c>
      <c r="J495" s="41">
        <v>1</v>
      </c>
      <c r="K495" s="28"/>
      <c r="L495" s="43"/>
      <c r="M495" s="28"/>
    </row>
    <row r="496" ht="37.5" spans="2:13">
      <c r="B496" s="28">
        <f t="shared" si="9"/>
        <v>3334</v>
      </c>
      <c r="C496" s="25">
        <v>13</v>
      </c>
      <c r="D496" s="42" t="s">
        <v>909</v>
      </c>
      <c r="E496" s="41" t="s">
        <v>910</v>
      </c>
      <c r="F496" s="28" t="s">
        <v>109</v>
      </c>
      <c r="G496" s="28"/>
      <c r="H496" s="41" t="s">
        <v>454</v>
      </c>
      <c r="I496" s="41" t="s">
        <v>454</v>
      </c>
      <c r="J496" s="25">
        <v>1</v>
      </c>
      <c r="K496" s="28"/>
      <c r="L496" s="43"/>
      <c r="M496" s="28"/>
    </row>
    <row r="497" ht="37.5" spans="2:14">
      <c r="B497" s="28">
        <f t="shared" si="9"/>
        <v>3347</v>
      </c>
      <c r="C497" s="25">
        <v>14</v>
      </c>
      <c r="D497" s="42" t="s">
        <v>911</v>
      </c>
      <c r="E497" s="41" t="s">
        <v>912</v>
      </c>
      <c r="F497" s="28" t="s">
        <v>109</v>
      </c>
      <c r="G497" s="28"/>
      <c r="H497" s="41" t="s">
        <v>454</v>
      </c>
      <c r="I497" s="41" t="s">
        <v>454</v>
      </c>
      <c r="J497" s="25">
        <v>1</v>
      </c>
      <c r="K497" s="28"/>
      <c r="L497" s="43"/>
      <c r="M497" s="28"/>
    </row>
    <row r="498" ht="37.5" spans="2:14">
      <c r="B498" s="28">
        <f t="shared" si="9"/>
        <v>3361</v>
      </c>
      <c r="C498" s="25">
        <v>19</v>
      </c>
      <c r="D498" s="53" t="s">
        <v>913</v>
      </c>
      <c r="E498" s="54" t="s">
        <v>914</v>
      </c>
      <c r="F498" s="55" t="s">
        <v>109</v>
      </c>
      <c r="G498" s="55"/>
      <c r="H498" s="41" t="s">
        <v>454</v>
      </c>
      <c r="I498" s="41" t="s">
        <v>454</v>
      </c>
      <c r="J498" s="56">
        <v>1</v>
      </c>
      <c r="K498" s="55"/>
      <c r="L498" s="57"/>
      <c r="M498" s="28"/>
    </row>
    <row r="499" ht="37.5" spans="2:14">
      <c r="B499" s="28">
        <f t="shared" si="9"/>
        <v>3380</v>
      </c>
      <c r="C499" s="56">
        <v>19</v>
      </c>
      <c r="D499" s="53" t="s">
        <v>915</v>
      </c>
      <c r="E499" s="54" t="s">
        <v>916</v>
      </c>
      <c r="F499" s="55" t="s">
        <v>109</v>
      </c>
      <c r="G499" s="55"/>
      <c r="H499" s="41" t="s">
        <v>454</v>
      </c>
      <c r="I499" s="41" t="s">
        <v>454</v>
      </c>
      <c r="J499" s="56">
        <v>1</v>
      </c>
      <c r="K499" s="55"/>
      <c r="L499" s="57"/>
      <c r="M499" s="28"/>
    </row>
    <row r="500" ht="18.75" spans="2:14"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8"/>
      <c r="M500" s="28"/>
    </row>
    <row r="501" ht="18.75" spans="2:14">
      <c r="B501" s="59" t="s">
        <v>917</v>
      </c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28"/>
    </row>
    <row r="502" ht="18.75" spans="2:14">
      <c r="B502" s="28">
        <v>7296</v>
      </c>
      <c r="C502" s="28">
        <v>1</v>
      </c>
      <c r="D502" s="28" t="s">
        <v>443</v>
      </c>
      <c r="E502" s="41" t="s">
        <v>444</v>
      </c>
      <c r="F502" s="28" t="s">
        <v>109</v>
      </c>
      <c r="G502" s="28"/>
      <c r="H502" s="28" t="s">
        <v>172</v>
      </c>
      <c r="I502" s="28" t="s">
        <v>172</v>
      </c>
      <c r="J502" s="28">
        <v>1</v>
      </c>
      <c r="K502" s="28"/>
      <c r="L502" s="28"/>
      <c r="M502" s="28"/>
    </row>
    <row r="503" ht="18.75" spans="2:14">
      <c r="B503" s="28">
        <f t="shared" ref="B503:B566" si="10">B502+C502</f>
        <v>7297</v>
      </c>
      <c r="C503" s="28">
        <v>1</v>
      </c>
      <c r="D503" s="28" t="s">
        <v>918</v>
      </c>
      <c r="E503" s="41" t="s">
        <v>919</v>
      </c>
      <c r="F503" s="28" t="s">
        <v>109</v>
      </c>
      <c r="G503" s="28"/>
      <c r="H503" s="28" t="s">
        <v>172</v>
      </c>
      <c r="I503" s="28" t="s">
        <v>172</v>
      </c>
      <c r="J503" s="28">
        <v>1</v>
      </c>
      <c r="K503" s="28"/>
      <c r="L503" s="28"/>
      <c r="M503" s="28"/>
    </row>
    <row r="504" ht="37.5" spans="2:14">
      <c r="B504" s="28">
        <f t="shared" si="10"/>
        <v>7298</v>
      </c>
      <c r="C504" s="28">
        <v>6</v>
      </c>
      <c r="D504" s="28" t="s">
        <v>920</v>
      </c>
      <c r="E504" s="41" t="s">
        <v>453</v>
      </c>
      <c r="F504" s="28" t="s">
        <v>109</v>
      </c>
      <c r="G504" s="28"/>
      <c r="H504" s="41" t="s">
        <v>454</v>
      </c>
      <c r="I504" s="41" t="s">
        <v>454</v>
      </c>
      <c r="J504" s="28">
        <v>1</v>
      </c>
      <c r="K504" s="28"/>
      <c r="L504" s="28"/>
      <c r="M504" s="28"/>
    </row>
    <row r="505" ht="18.75" spans="2:14">
      <c r="B505" s="28">
        <f t="shared" si="10"/>
        <v>7304</v>
      </c>
      <c r="C505" s="28">
        <v>1</v>
      </c>
      <c r="D505" s="28" t="s">
        <v>921</v>
      </c>
      <c r="E505" s="41" t="s">
        <v>449</v>
      </c>
      <c r="F505" s="28" t="s">
        <v>109</v>
      </c>
      <c r="G505" s="28"/>
      <c r="H505" s="28" t="s">
        <v>172</v>
      </c>
      <c r="I505" s="28" t="s">
        <v>172</v>
      </c>
      <c r="J505" s="28">
        <v>1</v>
      </c>
      <c r="K505" s="28"/>
      <c r="L505" s="28"/>
      <c r="M505" s="28"/>
    </row>
    <row r="506" ht="37.5" spans="2:14">
      <c r="B506" s="28">
        <f t="shared" si="10"/>
        <v>7305</v>
      </c>
      <c r="C506" s="55">
        <v>1</v>
      </c>
      <c r="D506" s="28" t="s">
        <v>922</v>
      </c>
      <c r="E506" s="41" t="s">
        <v>923</v>
      </c>
      <c r="F506" s="28" t="s">
        <v>109</v>
      </c>
      <c r="G506" s="28"/>
      <c r="H506" s="28" t="s">
        <v>172</v>
      </c>
      <c r="I506" s="28" t="s">
        <v>172</v>
      </c>
      <c r="J506" s="28">
        <v>1</v>
      </c>
      <c r="K506" s="28"/>
      <c r="L506" s="28"/>
      <c r="M506" s="28"/>
    </row>
    <row r="507" ht="37.5" spans="2:14">
      <c r="B507" s="28">
        <f t="shared" si="10"/>
        <v>7306</v>
      </c>
      <c r="C507" s="55">
        <v>1</v>
      </c>
      <c r="D507" s="28" t="s">
        <v>924</v>
      </c>
      <c r="E507" s="41" t="s">
        <v>925</v>
      </c>
      <c r="F507" s="28" t="s">
        <v>109</v>
      </c>
      <c r="G507" s="28"/>
      <c r="H507" s="28" t="s">
        <v>172</v>
      </c>
      <c r="I507" s="28" t="s">
        <v>172</v>
      </c>
      <c r="J507" s="28">
        <v>1</v>
      </c>
      <c r="K507" s="28"/>
      <c r="L507" s="28"/>
      <c r="M507" s="28"/>
    </row>
    <row r="508" ht="18.75" spans="2:14">
      <c r="B508" s="28">
        <f t="shared" si="10"/>
        <v>7307</v>
      </c>
      <c r="C508" s="28">
        <v>1</v>
      </c>
      <c r="D508" s="28" t="s">
        <v>926</v>
      </c>
      <c r="E508" s="41" t="s">
        <v>927</v>
      </c>
      <c r="F508" s="28" t="s">
        <v>109</v>
      </c>
      <c r="G508" s="28"/>
      <c r="H508" s="28" t="s">
        <v>172</v>
      </c>
      <c r="I508" s="28" t="s">
        <v>172</v>
      </c>
      <c r="J508" s="28">
        <v>1</v>
      </c>
      <c r="K508" s="28"/>
      <c r="L508" s="28"/>
      <c r="M508" s="28"/>
    </row>
    <row r="509" ht="37.5" spans="2:14">
      <c r="B509" s="28">
        <f t="shared" si="10"/>
        <v>7308</v>
      </c>
      <c r="C509" s="28">
        <v>1</v>
      </c>
      <c r="D509" s="28" t="s">
        <v>928</v>
      </c>
      <c r="E509" s="41" t="s">
        <v>929</v>
      </c>
      <c r="F509" s="28" t="s">
        <v>109</v>
      </c>
      <c r="G509" s="28"/>
      <c r="H509" s="28" t="s">
        <v>172</v>
      </c>
      <c r="I509" s="28" t="s">
        <v>172</v>
      </c>
      <c r="J509" s="28">
        <v>1</v>
      </c>
      <c r="K509" s="28"/>
      <c r="L509" s="28"/>
      <c r="M509" s="28"/>
    </row>
    <row r="510" ht="18.75" spans="2:14">
      <c r="B510" s="28">
        <f t="shared" si="10"/>
        <v>7309</v>
      </c>
      <c r="C510" s="28">
        <v>4</v>
      </c>
      <c r="D510" s="28" t="s">
        <v>459</v>
      </c>
      <c r="E510" s="41" t="s">
        <v>460</v>
      </c>
      <c r="F510" s="28" t="s">
        <v>109</v>
      </c>
      <c r="G510" s="28"/>
      <c r="H510" s="28" t="s">
        <v>151</v>
      </c>
      <c r="I510" s="28" t="s">
        <v>151</v>
      </c>
      <c r="J510" s="28">
        <v>1</v>
      </c>
      <c r="K510" s="28"/>
      <c r="L510" s="28" t="s">
        <v>930</v>
      </c>
      <c r="M510" s="28"/>
    </row>
    <row r="511" s="34" customFormat="1" ht="18.75" spans="2:14">
      <c r="B511" s="44">
        <f t="shared" si="10"/>
        <v>7313</v>
      </c>
      <c r="C511" s="44">
        <v>2</v>
      </c>
      <c r="D511" s="44" t="s">
        <v>931</v>
      </c>
      <c r="E511" s="48" t="s">
        <v>932</v>
      </c>
      <c r="F511" s="44" t="s">
        <v>109</v>
      </c>
      <c r="G511" s="44"/>
      <c r="H511" s="44" t="s">
        <v>450</v>
      </c>
      <c r="I511" s="44" t="s">
        <v>450</v>
      </c>
      <c r="J511" s="44">
        <v>1</v>
      </c>
      <c r="K511" s="44"/>
      <c r="L511" s="44" t="s">
        <v>933</v>
      </c>
      <c r="M511" s="44"/>
      <c r="N511" s="60" t="s">
        <v>934</v>
      </c>
    </row>
    <row r="512" ht="18.75" spans="2:14">
      <c r="B512" s="28">
        <f t="shared" si="10"/>
        <v>7315</v>
      </c>
      <c r="C512" s="28">
        <v>1</v>
      </c>
      <c r="D512" s="28" t="s">
        <v>935</v>
      </c>
      <c r="E512" s="41" t="s">
        <v>936</v>
      </c>
      <c r="F512" s="28" t="s">
        <v>109</v>
      </c>
      <c r="G512" s="28"/>
      <c r="H512" s="28" t="s">
        <v>172</v>
      </c>
      <c r="I512" s="28" t="s">
        <v>172</v>
      </c>
      <c r="J512" s="28">
        <v>1</v>
      </c>
      <c r="K512" s="28"/>
      <c r="L512" s="28"/>
      <c r="M512" s="28"/>
    </row>
    <row r="513" ht="18.75" spans="2:14">
      <c r="B513" s="28">
        <f t="shared" si="10"/>
        <v>7316</v>
      </c>
      <c r="C513" s="55">
        <v>1</v>
      </c>
      <c r="D513" s="28" t="s">
        <v>937</v>
      </c>
      <c r="E513" s="41" t="s">
        <v>938</v>
      </c>
      <c r="F513" s="28" t="s">
        <v>109</v>
      </c>
      <c r="G513" s="28"/>
      <c r="H513" s="28" t="s">
        <v>172</v>
      </c>
      <c r="I513" s="28" t="s">
        <v>172</v>
      </c>
      <c r="J513" s="28">
        <v>1</v>
      </c>
      <c r="K513" s="28"/>
      <c r="L513" s="28"/>
      <c r="M513" s="28"/>
    </row>
    <row r="514" ht="18.75" spans="2:14">
      <c r="B514" s="28">
        <f t="shared" si="10"/>
        <v>7317</v>
      </c>
      <c r="C514" s="24">
        <v>1</v>
      </c>
      <c r="D514" s="28" t="s">
        <v>939</v>
      </c>
      <c r="E514" s="41" t="s">
        <v>940</v>
      </c>
      <c r="F514" s="28" t="s">
        <v>109</v>
      </c>
      <c r="G514" s="28"/>
      <c r="H514" s="28" t="s">
        <v>172</v>
      </c>
      <c r="I514" s="28" t="s">
        <v>172</v>
      </c>
      <c r="J514" s="28">
        <v>1</v>
      </c>
      <c r="K514" s="28"/>
      <c r="L514" s="28"/>
      <c r="M514" s="28"/>
    </row>
    <row r="515" ht="18.75" spans="2:14">
      <c r="B515" s="28">
        <f t="shared" si="10"/>
        <v>7318</v>
      </c>
      <c r="C515" s="28">
        <v>1</v>
      </c>
      <c r="D515" s="28" t="s">
        <v>941</v>
      </c>
      <c r="E515" s="41" t="s">
        <v>942</v>
      </c>
      <c r="F515" s="28" t="s">
        <v>109</v>
      </c>
      <c r="G515" s="28"/>
      <c r="H515" s="28" t="s">
        <v>172</v>
      </c>
      <c r="I515" s="28" t="s">
        <v>172</v>
      </c>
      <c r="J515" s="28">
        <v>1</v>
      </c>
      <c r="K515" s="28"/>
      <c r="L515" s="28" t="s">
        <v>943</v>
      </c>
      <c r="M515" s="28"/>
    </row>
    <row r="516" ht="18.75" spans="2:14">
      <c r="B516" s="28">
        <f t="shared" si="10"/>
        <v>7319</v>
      </c>
      <c r="C516" s="28">
        <v>1</v>
      </c>
      <c r="D516" s="28" t="s">
        <v>944</v>
      </c>
      <c r="E516" s="41" t="s">
        <v>945</v>
      </c>
      <c r="F516" s="28" t="s">
        <v>109</v>
      </c>
      <c r="G516" s="28"/>
      <c r="H516" s="28" t="s">
        <v>172</v>
      </c>
      <c r="I516" s="28" t="s">
        <v>172</v>
      </c>
      <c r="J516" s="28">
        <v>1</v>
      </c>
      <c r="K516" s="28"/>
      <c r="L516" s="28" t="s">
        <v>946</v>
      </c>
      <c r="M516" s="28"/>
    </row>
    <row r="517" ht="18.75" spans="2:14">
      <c r="B517" s="28">
        <f t="shared" si="10"/>
        <v>7320</v>
      </c>
      <c r="C517" s="28">
        <v>2</v>
      </c>
      <c r="D517" s="28" t="s">
        <v>947</v>
      </c>
      <c r="E517" s="41" t="s">
        <v>948</v>
      </c>
      <c r="F517" s="28" t="s">
        <v>109</v>
      </c>
      <c r="G517" s="28"/>
      <c r="H517" s="28" t="s">
        <v>450</v>
      </c>
      <c r="I517" s="28" t="s">
        <v>450</v>
      </c>
      <c r="J517" s="28">
        <v>1</v>
      </c>
      <c r="K517" s="28"/>
      <c r="L517" s="28"/>
      <c r="M517" s="28"/>
    </row>
    <row r="518" s="34" customFormat="1" ht="18.75" spans="2:14">
      <c r="B518" s="44">
        <f t="shared" si="10"/>
        <v>7322</v>
      </c>
      <c r="C518" s="44">
        <v>1</v>
      </c>
      <c r="D518" s="44" t="s">
        <v>949</v>
      </c>
      <c r="E518" s="48" t="s">
        <v>950</v>
      </c>
      <c r="F518" s="44" t="s">
        <v>109</v>
      </c>
      <c r="G518" s="44"/>
      <c r="H518" s="44" t="s">
        <v>172</v>
      </c>
      <c r="I518" s="44" t="s">
        <v>172</v>
      </c>
      <c r="J518" s="44">
        <v>1</v>
      </c>
      <c r="K518" s="44"/>
      <c r="L518" s="44" t="s">
        <v>951</v>
      </c>
      <c r="M518" s="44"/>
      <c r="N518" s="60" t="s">
        <v>952</v>
      </c>
    </row>
    <row r="519" ht="18.75" spans="2:14">
      <c r="B519" s="28">
        <f t="shared" si="10"/>
        <v>7323</v>
      </c>
      <c r="C519" s="28">
        <v>1</v>
      </c>
      <c r="D519" s="28" t="s">
        <v>953</v>
      </c>
      <c r="E519" s="41" t="s">
        <v>950</v>
      </c>
      <c r="F519" s="28" t="s">
        <v>109</v>
      </c>
      <c r="G519" s="28"/>
      <c r="H519" s="28" t="s">
        <v>172</v>
      </c>
      <c r="I519" s="28" t="s">
        <v>172</v>
      </c>
      <c r="J519" s="28"/>
      <c r="K519" s="28"/>
      <c r="L519" s="44" t="s">
        <v>951</v>
      </c>
      <c r="M519" s="28"/>
    </row>
    <row r="520" ht="18.75" spans="2:14">
      <c r="B520" s="28">
        <f t="shared" si="10"/>
        <v>7324</v>
      </c>
      <c r="C520" s="28">
        <v>1</v>
      </c>
      <c r="D520" s="28" t="s">
        <v>954</v>
      </c>
      <c r="E520" s="41" t="s">
        <v>950</v>
      </c>
      <c r="F520" s="28" t="s">
        <v>109</v>
      </c>
      <c r="G520" s="28"/>
      <c r="H520" s="28" t="s">
        <v>172</v>
      </c>
      <c r="I520" s="28" t="s">
        <v>172</v>
      </c>
      <c r="J520" s="28"/>
      <c r="K520" s="28"/>
      <c r="L520" s="44" t="s">
        <v>951</v>
      </c>
      <c r="M520" s="28"/>
    </row>
    <row r="521" ht="18.75" spans="2:14">
      <c r="B521" s="28">
        <f t="shared" si="10"/>
        <v>7325</v>
      </c>
      <c r="C521" s="28">
        <v>1</v>
      </c>
      <c r="D521" s="28" t="s">
        <v>955</v>
      </c>
      <c r="E521" s="41" t="s">
        <v>950</v>
      </c>
      <c r="F521" s="28" t="s">
        <v>109</v>
      </c>
      <c r="G521" s="28"/>
      <c r="H521" s="28" t="s">
        <v>172</v>
      </c>
      <c r="I521" s="28" t="s">
        <v>172</v>
      </c>
      <c r="J521" s="28"/>
      <c r="K521" s="28"/>
      <c r="L521" s="44" t="s">
        <v>951</v>
      </c>
      <c r="M521" s="28"/>
    </row>
    <row r="522" ht="18.75" spans="2:14">
      <c r="B522" s="28">
        <f t="shared" si="10"/>
        <v>7326</v>
      </c>
      <c r="C522" s="28">
        <v>1</v>
      </c>
      <c r="D522" s="28" t="s">
        <v>956</v>
      </c>
      <c r="E522" s="41" t="s">
        <v>950</v>
      </c>
      <c r="F522" s="28" t="s">
        <v>109</v>
      </c>
      <c r="G522" s="28"/>
      <c r="H522" s="28" t="s">
        <v>172</v>
      </c>
      <c r="I522" s="28" t="s">
        <v>172</v>
      </c>
      <c r="J522" s="28"/>
      <c r="K522" s="28"/>
      <c r="L522" s="44" t="s">
        <v>951</v>
      </c>
      <c r="M522" s="28"/>
    </row>
    <row r="523" ht="18.75" spans="2:14">
      <c r="B523" s="28">
        <f t="shared" si="10"/>
        <v>7327</v>
      </c>
      <c r="C523" s="28">
        <v>1</v>
      </c>
      <c r="D523" s="28" t="s">
        <v>957</v>
      </c>
      <c r="E523" s="41" t="s">
        <v>950</v>
      </c>
      <c r="F523" s="28" t="s">
        <v>109</v>
      </c>
      <c r="G523" s="28"/>
      <c r="H523" s="28" t="s">
        <v>172</v>
      </c>
      <c r="I523" s="28" t="s">
        <v>172</v>
      </c>
      <c r="J523" s="28"/>
      <c r="K523" s="28"/>
      <c r="L523" s="44" t="s">
        <v>951</v>
      </c>
      <c r="M523" s="28"/>
    </row>
    <row r="524" ht="18.75" spans="2:14">
      <c r="B524" s="28">
        <f t="shared" si="10"/>
        <v>7328</v>
      </c>
      <c r="C524" s="28">
        <v>1</v>
      </c>
      <c r="D524" s="28" t="s">
        <v>440</v>
      </c>
      <c r="E524" s="41" t="s">
        <v>435</v>
      </c>
      <c r="F524" s="28" t="s">
        <v>109</v>
      </c>
      <c r="G524" s="28"/>
      <c r="H524" s="28" t="s">
        <v>230</v>
      </c>
      <c r="I524" s="28" t="s">
        <v>230</v>
      </c>
      <c r="J524" s="28" t="s">
        <v>79</v>
      </c>
      <c r="K524" s="28"/>
      <c r="L524" s="28"/>
      <c r="M524" s="28"/>
      <c r="N524" s="60"/>
    </row>
    <row r="525" s="34" customFormat="1" ht="18.75" spans="2:14">
      <c r="B525" s="44">
        <f t="shared" si="10"/>
        <v>7329</v>
      </c>
      <c r="C525" s="44">
        <v>1</v>
      </c>
      <c r="D525" s="44" t="s">
        <v>958</v>
      </c>
      <c r="E525" s="48" t="s">
        <v>959</v>
      </c>
      <c r="F525" s="44" t="s">
        <v>109</v>
      </c>
      <c r="G525" s="44"/>
      <c r="H525" s="44" t="s">
        <v>172</v>
      </c>
      <c r="I525" s="44" t="s">
        <v>172</v>
      </c>
      <c r="J525" s="44">
        <v>1</v>
      </c>
      <c r="K525" s="44"/>
      <c r="L525" s="44" t="s">
        <v>960</v>
      </c>
      <c r="M525" s="44"/>
      <c r="N525" s="60" t="s">
        <v>961</v>
      </c>
    </row>
    <row r="526" s="34" customFormat="1" ht="18.75" spans="2:14">
      <c r="B526" s="44">
        <f t="shared" si="10"/>
        <v>7330</v>
      </c>
      <c r="C526" s="44">
        <v>1</v>
      </c>
      <c r="D526" s="44" t="s">
        <v>962</v>
      </c>
      <c r="E526" s="48" t="s">
        <v>963</v>
      </c>
      <c r="F526" s="44" t="s">
        <v>109</v>
      </c>
      <c r="G526" s="44"/>
      <c r="H526" s="44" t="s">
        <v>172</v>
      </c>
      <c r="I526" s="44" t="s">
        <v>172</v>
      </c>
      <c r="J526" s="44">
        <v>1</v>
      </c>
      <c r="K526" s="44"/>
      <c r="L526" s="44" t="s">
        <v>964</v>
      </c>
      <c r="M526" s="44"/>
      <c r="N526" s="60" t="s">
        <v>961</v>
      </c>
    </row>
    <row r="527" ht="18.75" spans="2:14">
      <c r="B527" s="28">
        <f t="shared" si="10"/>
        <v>7331</v>
      </c>
      <c r="C527" s="28">
        <v>2</v>
      </c>
      <c r="D527" s="28" t="s">
        <v>461</v>
      </c>
      <c r="E527" s="41" t="s">
        <v>462</v>
      </c>
      <c r="F527" s="28" t="s">
        <v>109</v>
      </c>
      <c r="G527" s="28"/>
      <c r="H527" s="28" t="s">
        <v>182</v>
      </c>
      <c r="I527" s="28" t="s">
        <v>179</v>
      </c>
      <c r="J527" s="28">
        <v>0.0001</v>
      </c>
      <c r="K527" s="28"/>
      <c r="L527" s="28"/>
      <c r="M527" s="28"/>
    </row>
    <row r="528" ht="18.75" spans="2:14">
      <c r="B528" s="28">
        <f t="shared" si="10"/>
        <v>7333</v>
      </c>
      <c r="C528" s="28">
        <v>1</v>
      </c>
      <c r="D528" s="28" t="s">
        <v>816</v>
      </c>
      <c r="E528" s="41" t="s">
        <v>817</v>
      </c>
      <c r="F528" s="28" t="s">
        <v>109</v>
      </c>
      <c r="G528" s="28"/>
      <c r="H528" s="28" t="s">
        <v>172</v>
      </c>
      <c r="I528" s="28" t="s">
        <v>172</v>
      </c>
      <c r="J528" s="28">
        <v>1</v>
      </c>
      <c r="K528" s="28"/>
      <c r="L528" s="28" t="s">
        <v>965</v>
      </c>
      <c r="M528" s="28"/>
    </row>
    <row r="529" ht="37.5" spans="2:14">
      <c r="B529" s="28">
        <f t="shared" si="10"/>
        <v>7334</v>
      </c>
      <c r="C529" s="28">
        <v>1</v>
      </c>
      <c r="D529" s="28" t="s">
        <v>760</v>
      </c>
      <c r="E529" s="41" t="s">
        <v>761</v>
      </c>
      <c r="F529" s="28" t="s">
        <v>109</v>
      </c>
      <c r="G529" s="28"/>
      <c r="H529" s="28" t="s">
        <v>172</v>
      </c>
      <c r="I529" s="28" t="s">
        <v>172</v>
      </c>
      <c r="J529" s="28">
        <v>1</v>
      </c>
      <c r="K529" s="28"/>
      <c r="L529" s="28" t="s">
        <v>966</v>
      </c>
      <c r="M529" s="28"/>
    </row>
    <row r="530" s="34" customFormat="1" ht="37.5" spans="2:14">
      <c r="B530" s="44">
        <f t="shared" si="10"/>
        <v>7335</v>
      </c>
      <c r="C530" s="44">
        <v>1</v>
      </c>
      <c r="D530" s="44" t="s">
        <v>786</v>
      </c>
      <c r="E530" s="48" t="s">
        <v>967</v>
      </c>
      <c r="F530" s="44" t="s">
        <v>109</v>
      </c>
      <c r="G530" s="44"/>
      <c r="H530" s="44" t="s">
        <v>172</v>
      </c>
      <c r="I530" s="44" t="s">
        <v>172</v>
      </c>
      <c r="J530" s="44">
        <v>1</v>
      </c>
      <c r="K530" s="44"/>
      <c r="L530" s="44" t="s">
        <v>968</v>
      </c>
      <c r="M530" s="44" t="s">
        <v>969</v>
      </c>
      <c r="N530" s="60" t="s">
        <v>961</v>
      </c>
    </row>
    <row r="531" ht="37.5" spans="2:14">
      <c r="B531" s="28">
        <f t="shared" si="10"/>
        <v>7336</v>
      </c>
      <c r="C531" s="28">
        <v>1</v>
      </c>
      <c r="D531" s="28" t="s">
        <v>970</v>
      </c>
      <c r="E531" s="41" t="s">
        <v>971</v>
      </c>
      <c r="F531" s="28" t="s">
        <v>109</v>
      </c>
      <c r="G531" s="28"/>
      <c r="H531" s="28" t="s">
        <v>172</v>
      </c>
      <c r="I531" s="28" t="s">
        <v>172</v>
      </c>
      <c r="J531" s="28">
        <v>1</v>
      </c>
      <c r="K531" s="28"/>
      <c r="L531" s="28"/>
      <c r="M531" s="28"/>
    </row>
    <row r="532" ht="37.5" spans="2:14">
      <c r="B532" s="28">
        <f t="shared" si="10"/>
        <v>7337</v>
      </c>
      <c r="C532" s="28">
        <v>1</v>
      </c>
      <c r="D532" s="28" t="s">
        <v>744</v>
      </c>
      <c r="E532" s="41" t="s">
        <v>745</v>
      </c>
      <c r="F532" s="28" t="s">
        <v>109</v>
      </c>
      <c r="G532" s="28"/>
      <c r="H532" s="28" t="s">
        <v>172</v>
      </c>
      <c r="I532" s="28" t="s">
        <v>172</v>
      </c>
      <c r="J532" s="28">
        <v>1</v>
      </c>
      <c r="K532" s="28"/>
      <c r="L532" s="28" t="s">
        <v>972</v>
      </c>
      <c r="M532" s="28"/>
    </row>
    <row r="533" ht="18.75" spans="2:14">
      <c r="B533" s="28">
        <f t="shared" si="10"/>
        <v>7338</v>
      </c>
      <c r="C533" s="28">
        <v>1</v>
      </c>
      <c r="D533" s="28" t="s">
        <v>791</v>
      </c>
      <c r="E533" s="41" t="s">
        <v>792</v>
      </c>
      <c r="F533" s="28" t="s">
        <v>109</v>
      </c>
      <c r="G533" s="28"/>
      <c r="H533" s="28" t="s">
        <v>171</v>
      </c>
      <c r="I533" s="28" t="s">
        <v>172</v>
      </c>
      <c r="J533" s="28">
        <v>1</v>
      </c>
      <c r="K533" s="28"/>
      <c r="L533" s="28"/>
      <c r="M533" s="28"/>
    </row>
    <row r="534" ht="37.5" spans="2:14">
      <c r="B534" s="28">
        <f t="shared" si="10"/>
        <v>7339</v>
      </c>
      <c r="C534" s="28">
        <v>1</v>
      </c>
      <c r="D534" s="28" t="s">
        <v>795</v>
      </c>
      <c r="E534" s="41" t="s">
        <v>796</v>
      </c>
      <c r="F534" s="28" t="s">
        <v>109</v>
      </c>
      <c r="G534" s="28"/>
      <c r="H534" s="28" t="s">
        <v>172</v>
      </c>
      <c r="I534" s="28" t="s">
        <v>172</v>
      </c>
      <c r="J534" s="28">
        <v>1</v>
      </c>
      <c r="K534" s="28"/>
      <c r="L534" s="28" t="s">
        <v>973</v>
      </c>
      <c r="M534" s="28"/>
    </row>
    <row r="535" ht="37.5" spans="2:14">
      <c r="B535" s="28">
        <f t="shared" si="10"/>
        <v>7340</v>
      </c>
      <c r="C535" s="28">
        <v>1</v>
      </c>
      <c r="D535" s="28" t="s">
        <v>802</v>
      </c>
      <c r="E535" s="41" t="s">
        <v>803</v>
      </c>
      <c r="F535" s="28" t="s">
        <v>109</v>
      </c>
      <c r="G535" s="28" t="s">
        <v>256</v>
      </c>
      <c r="H535" s="28" t="s">
        <v>182</v>
      </c>
      <c r="I535" s="28" t="s">
        <v>172</v>
      </c>
      <c r="J535" s="28">
        <v>0.1</v>
      </c>
      <c r="K535" s="28"/>
      <c r="L535" s="28"/>
      <c r="M535" s="28"/>
    </row>
    <row r="536" ht="37.5" spans="2:14">
      <c r="B536" s="28">
        <f t="shared" si="10"/>
        <v>7341</v>
      </c>
      <c r="C536" s="28">
        <v>1</v>
      </c>
      <c r="D536" s="28" t="s">
        <v>804</v>
      </c>
      <c r="E536" s="41" t="s">
        <v>805</v>
      </c>
      <c r="F536" s="28" t="s">
        <v>109</v>
      </c>
      <c r="G536" s="28" t="s">
        <v>263</v>
      </c>
      <c r="H536" s="28" t="s">
        <v>182</v>
      </c>
      <c r="I536" s="28" t="s">
        <v>172</v>
      </c>
      <c r="J536" s="28">
        <v>0.1</v>
      </c>
      <c r="K536" s="28"/>
      <c r="L536" s="28"/>
      <c r="M536" s="28"/>
    </row>
    <row r="537" ht="37.5" spans="2:14">
      <c r="B537" s="28">
        <f t="shared" si="10"/>
        <v>7342</v>
      </c>
      <c r="C537" s="28">
        <v>1</v>
      </c>
      <c r="D537" s="28" t="s">
        <v>752</v>
      </c>
      <c r="E537" s="41" t="s">
        <v>753</v>
      </c>
      <c r="F537" s="28" t="s">
        <v>109</v>
      </c>
      <c r="G537" s="28"/>
      <c r="H537" s="28" t="s">
        <v>182</v>
      </c>
      <c r="I537" s="28" t="s">
        <v>172</v>
      </c>
      <c r="J537" s="28">
        <v>-0.1</v>
      </c>
      <c r="K537" s="28"/>
      <c r="L537" s="28"/>
      <c r="M537" s="28"/>
    </row>
    <row r="538" ht="37.5" spans="2:14">
      <c r="B538" s="28">
        <f t="shared" si="10"/>
        <v>7343</v>
      </c>
      <c r="C538" s="28">
        <v>1</v>
      </c>
      <c r="D538" s="28" t="s">
        <v>782</v>
      </c>
      <c r="E538" s="41" t="s">
        <v>783</v>
      </c>
      <c r="F538" s="28" t="s">
        <v>109</v>
      </c>
      <c r="G538" s="28" t="s">
        <v>149</v>
      </c>
      <c r="H538" s="28" t="s">
        <v>182</v>
      </c>
      <c r="I538" s="28" t="s">
        <v>172</v>
      </c>
      <c r="J538" s="28">
        <v>0.1</v>
      </c>
      <c r="K538" s="28"/>
      <c r="L538" s="28"/>
      <c r="M538" s="28"/>
    </row>
    <row r="539" ht="37.5" spans="2:14">
      <c r="B539" s="28">
        <f t="shared" si="10"/>
        <v>7344</v>
      </c>
      <c r="C539" s="28">
        <v>1</v>
      </c>
      <c r="D539" s="28" t="s">
        <v>758</v>
      </c>
      <c r="E539" s="41" t="s">
        <v>759</v>
      </c>
      <c r="F539" s="28" t="s">
        <v>109</v>
      </c>
      <c r="G539" s="28" t="s">
        <v>974</v>
      </c>
      <c r="H539" s="28" t="s">
        <v>182</v>
      </c>
      <c r="I539" s="28" t="s">
        <v>468</v>
      </c>
      <c r="J539" s="28">
        <v>-0.001</v>
      </c>
      <c r="K539" s="28"/>
      <c r="L539" s="28"/>
      <c r="M539" s="28"/>
    </row>
    <row r="540" ht="37.5" spans="2:14">
      <c r="B540" s="28">
        <f t="shared" si="10"/>
        <v>7345</v>
      </c>
      <c r="C540" s="28">
        <v>1</v>
      </c>
      <c r="D540" s="28" t="s">
        <v>806</v>
      </c>
      <c r="E540" s="41" t="s">
        <v>807</v>
      </c>
      <c r="F540" s="28" t="s">
        <v>109</v>
      </c>
      <c r="G540" s="28" t="s">
        <v>974</v>
      </c>
      <c r="H540" s="28" t="s">
        <v>182</v>
      </c>
      <c r="I540" s="28" t="s">
        <v>468</v>
      </c>
      <c r="J540" s="28">
        <v>-0.001</v>
      </c>
      <c r="K540" s="28"/>
      <c r="L540" s="28"/>
      <c r="M540" s="28"/>
    </row>
    <row r="541" ht="37.5" spans="2:14">
      <c r="B541" s="28">
        <f t="shared" si="10"/>
        <v>7346</v>
      </c>
      <c r="C541" s="28">
        <v>1</v>
      </c>
      <c r="D541" s="28" t="s">
        <v>808</v>
      </c>
      <c r="E541" s="41" t="s">
        <v>809</v>
      </c>
      <c r="F541" s="28" t="s">
        <v>109</v>
      </c>
      <c r="G541" s="28" t="s">
        <v>974</v>
      </c>
      <c r="H541" s="28" t="s">
        <v>182</v>
      </c>
      <c r="I541" s="28" t="s">
        <v>468</v>
      </c>
      <c r="J541" s="28">
        <v>-0.001</v>
      </c>
      <c r="K541" s="28"/>
      <c r="L541" s="28"/>
      <c r="M541" s="28"/>
    </row>
    <row r="542" ht="37.5" spans="2:14">
      <c r="B542" s="28">
        <f t="shared" si="10"/>
        <v>7347</v>
      </c>
      <c r="C542" s="28">
        <v>1</v>
      </c>
      <c r="D542" s="28" t="s">
        <v>810</v>
      </c>
      <c r="E542" s="41" t="s">
        <v>811</v>
      </c>
      <c r="F542" s="28" t="s">
        <v>109</v>
      </c>
      <c r="G542" s="28" t="s">
        <v>974</v>
      </c>
      <c r="H542" s="28" t="s">
        <v>182</v>
      </c>
      <c r="I542" s="28" t="s">
        <v>468</v>
      </c>
      <c r="J542" s="28">
        <v>-0.001</v>
      </c>
      <c r="K542" s="28"/>
      <c r="L542" s="28"/>
      <c r="M542" s="46"/>
    </row>
    <row r="543" s="34" customFormat="1" ht="37.5" spans="2:14">
      <c r="B543" s="44">
        <f t="shared" si="10"/>
        <v>7348</v>
      </c>
      <c r="C543" s="44">
        <v>1</v>
      </c>
      <c r="D543" s="44" t="s">
        <v>975</v>
      </c>
      <c r="E543" s="48" t="s">
        <v>976</v>
      </c>
      <c r="F543" s="44" t="s">
        <v>109</v>
      </c>
      <c r="G543" s="44"/>
      <c r="H543" s="44" t="s">
        <v>172</v>
      </c>
      <c r="I543" s="44" t="s">
        <v>172</v>
      </c>
      <c r="J543" s="44">
        <v>1</v>
      </c>
      <c r="K543" s="44"/>
      <c r="L543" s="44"/>
      <c r="M543" s="47" t="s">
        <v>977</v>
      </c>
      <c r="N543" s="60" t="s">
        <v>961</v>
      </c>
    </row>
    <row r="544" ht="37.5" spans="2:14">
      <c r="B544" s="28">
        <f t="shared" si="10"/>
        <v>7349</v>
      </c>
      <c r="C544" s="28">
        <v>1</v>
      </c>
      <c r="D544" s="28" t="s">
        <v>978</v>
      </c>
      <c r="E544" s="41" t="s">
        <v>979</v>
      </c>
      <c r="F544" s="28" t="s">
        <v>109</v>
      </c>
      <c r="G544" s="28"/>
      <c r="H544" s="28" t="s">
        <v>172</v>
      </c>
      <c r="I544" s="28" t="s">
        <v>172</v>
      </c>
      <c r="J544" s="28">
        <v>1</v>
      </c>
      <c r="K544" s="28"/>
      <c r="L544" s="28"/>
      <c r="M544" s="46"/>
    </row>
    <row r="545" ht="37.5" spans="2:13">
      <c r="B545" s="28">
        <f t="shared" si="10"/>
        <v>7350</v>
      </c>
      <c r="C545" s="28">
        <v>1</v>
      </c>
      <c r="D545" s="28" t="s">
        <v>980</v>
      </c>
      <c r="E545" s="41" t="s">
        <v>981</v>
      </c>
      <c r="F545" s="28" t="s">
        <v>109</v>
      </c>
      <c r="G545" s="28"/>
      <c r="H545" s="28" t="s">
        <v>172</v>
      </c>
      <c r="I545" s="28" t="s">
        <v>172</v>
      </c>
      <c r="J545" s="28">
        <v>1</v>
      </c>
      <c r="K545" s="28"/>
      <c r="L545" s="28"/>
      <c r="M545" s="46"/>
    </row>
    <row r="546" ht="37.5" spans="2:13">
      <c r="B546" s="28">
        <f t="shared" si="10"/>
        <v>7351</v>
      </c>
      <c r="C546" s="28">
        <v>1</v>
      </c>
      <c r="D546" s="28" t="s">
        <v>982</v>
      </c>
      <c r="E546" s="41" t="s">
        <v>983</v>
      </c>
      <c r="F546" s="28" t="s">
        <v>109</v>
      </c>
      <c r="G546" s="28" t="s">
        <v>256</v>
      </c>
      <c r="H546" s="28" t="s">
        <v>182</v>
      </c>
      <c r="I546" s="28" t="s">
        <v>172</v>
      </c>
      <c r="J546" s="28">
        <v>0.1</v>
      </c>
      <c r="K546" s="28"/>
      <c r="L546" s="28"/>
      <c r="M546" s="46"/>
    </row>
    <row r="547" ht="37.5" spans="2:13">
      <c r="B547" s="28">
        <f t="shared" si="10"/>
        <v>7352</v>
      </c>
      <c r="C547" s="28">
        <v>1</v>
      </c>
      <c r="D547" s="28" t="s">
        <v>984</v>
      </c>
      <c r="E547" s="41" t="s">
        <v>985</v>
      </c>
      <c r="F547" s="28" t="s">
        <v>109</v>
      </c>
      <c r="G547" s="28" t="s">
        <v>319</v>
      </c>
      <c r="H547" s="28" t="s">
        <v>182</v>
      </c>
      <c r="I547" s="28" t="s">
        <v>172</v>
      </c>
      <c r="J547" s="28">
        <v>0.01</v>
      </c>
      <c r="K547" s="28"/>
      <c r="L547" s="28"/>
      <c r="M547" s="46"/>
    </row>
    <row r="548" ht="37.5" spans="2:13">
      <c r="B548" s="28">
        <f t="shared" si="10"/>
        <v>7353</v>
      </c>
      <c r="C548" s="28">
        <v>1</v>
      </c>
      <c r="D548" s="28" t="s">
        <v>986</v>
      </c>
      <c r="E548" s="41" t="s">
        <v>987</v>
      </c>
      <c r="F548" s="28" t="s">
        <v>109</v>
      </c>
      <c r="G548" s="28" t="s">
        <v>256</v>
      </c>
      <c r="H548" s="28" t="s">
        <v>182</v>
      </c>
      <c r="I548" s="28" t="s">
        <v>172</v>
      </c>
      <c r="J548" s="28">
        <v>0.1</v>
      </c>
      <c r="K548" s="28"/>
      <c r="L548" s="28"/>
      <c r="M548" s="46"/>
    </row>
    <row r="549" ht="37.5" spans="2:13">
      <c r="B549" s="28">
        <f t="shared" si="10"/>
        <v>7354</v>
      </c>
      <c r="C549" s="28">
        <v>1</v>
      </c>
      <c r="D549" s="28" t="s">
        <v>988</v>
      </c>
      <c r="E549" s="41" t="s">
        <v>989</v>
      </c>
      <c r="F549" s="28" t="s">
        <v>109</v>
      </c>
      <c r="G549" s="28" t="s">
        <v>256</v>
      </c>
      <c r="H549" s="28" t="s">
        <v>182</v>
      </c>
      <c r="I549" s="28" t="s">
        <v>172</v>
      </c>
      <c r="J549" s="28">
        <v>0.1</v>
      </c>
      <c r="K549" s="28"/>
      <c r="L549" s="28"/>
      <c r="M549" s="46"/>
    </row>
    <row r="550" ht="37.5" spans="2:13">
      <c r="B550" s="28">
        <f t="shared" si="10"/>
        <v>7355</v>
      </c>
      <c r="C550" s="28">
        <v>1</v>
      </c>
      <c r="D550" s="28" t="s">
        <v>990</v>
      </c>
      <c r="E550" s="41" t="s">
        <v>991</v>
      </c>
      <c r="F550" s="28" t="s">
        <v>109</v>
      </c>
      <c r="G550" s="28" t="s">
        <v>256</v>
      </c>
      <c r="H550" s="28" t="s">
        <v>182</v>
      </c>
      <c r="I550" s="28" t="s">
        <v>172</v>
      </c>
      <c r="J550" s="28">
        <v>0.1</v>
      </c>
      <c r="K550" s="28"/>
      <c r="L550" s="28"/>
      <c r="M550" s="46"/>
    </row>
    <row r="551" ht="37.5" spans="2:13">
      <c r="B551" s="28">
        <f t="shared" si="10"/>
        <v>7356</v>
      </c>
      <c r="C551" s="28">
        <v>1</v>
      </c>
      <c r="D551" s="28" t="s">
        <v>763</v>
      </c>
      <c r="E551" s="41" t="s">
        <v>992</v>
      </c>
      <c r="F551" s="28" t="s">
        <v>109</v>
      </c>
      <c r="G551" s="28"/>
      <c r="H551" s="28" t="s">
        <v>172</v>
      </c>
      <c r="I551" s="28" t="s">
        <v>172</v>
      </c>
      <c r="J551" s="28">
        <v>1</v>
      </c>
      <c r="K551" s="28"/>
      <c r="L551" s="28" t="s">
        <v>993</v>
      </c>
      <c r="M551" s="46"/>
    </row>
    <row r="552" ht="37.5" spans="2:13">
      <c r="B552" s="28">
        <f t="shared" si="10"/>
        <v>7357</v>
      </c>
      <c r="C552" s="28">
        <v>1</v>
      </c>
      <c r="D552" s="28" t="s">
        <v>994</v>
      </c>
      <c r="E552" s="41" t="s">
        <v>995</v>
      </c>
      <c r="F552" s="28" t="s">
        <v>109</v>
      </c>
      <c r="G552" s="28"/>
      <c r="H552" s="28" t="s">
        <v>172</v>
      </c>
      <c r="I552" s="28" t="s">
        <v>172</v>
      </c>
      <c r="J552" s="28">
        <v>1</v>
      </c>
      <c r="L552" s="28"/>
      <c r="M552" s="46"/>
    </row>
    <row r="553" ht="18.75" spans="2:13">
      <c r="B553" s="28">
        <f t="shared" si="10"/>
        <v>7358</v>
      </c>
      <c r="C553" s="28">
        <v>1</v>
      </c>
      <c r="D553" s="28" t="s">
        <v>996</v>
      </c>
      <c r="E553" s="41" t="s">
        <v>997</v>
      </c>
      <c r="F553" s="28" t="s">
        <v>109</v>
      </c>
      <c r="G553" s="28"/>
      <c r="H553" s="28" t="s">
        <v>172</v>
      </c>
      <c r="I553" s="28" t="s">
        <v>172</v>
      </c>
      <c r="J553" s="28">
        <v>1</v>
      </c>
      <c r="K553" s="28"/>
      <c r="L553" s="28"/>
      <c r="M553" s="46"/>
    </row>
    <row r="554" ht="37.5" spans="2:13">
      <c r="B554" s="28">
        <f t="shared" si="10"/>
        <v>7359</v>
      </c>
      <c r="C554" s="28">
        <v>1</v>
      </c>
      <c r="D554" s="28" t="s">
        <v>998</v>
      </c>
      <c r="E554" s="41" t="s">
        <v>999</v>
      </c>
      <c r="F554" s="28" t="s">
        <v>109</v>
      </c>
      <c r="G554" s="28" t="s">
        <v>974</v>
      </c>
      <c r="H554" s="28" t="s">
        <v>182</v>
      </c>
      <c r="I554" s="28" t="s">
        <v>172</v>
      </c>
      <c r="J554" s="28">
        <v>0.1</v>
      </c>
      <c r="K554" s="28"/>
      <c r="L554" s="28"/>
      <c r="M554" s="46"/>
    </row>
    <row r="555" ht="37.5" spans="2:13">
      <c r="B555" s="28">
        <f t="shared" si="10"/>
        <v>7360</v>
      </c>
      <c r="C555" s="28">
        <v>1</v>
      </c>
      <c r="D555" s="28" t="s">
        <v>1000</v>
      </c>
      <c r="E555" s="41" t="s">
        <v>1001</v>
      </c>
      <c r="F555" s="28" t="s">
        <v>109</v>
      </c>
      <c r="G555" s="28" t="s">
        <v>974</v>
      </c>
      <c r="H555" s="28" t="s">
        <v>182</v>
      </c>
      <c r="I555" s="28" t="s">
        <v>172</v>
      </c>
      <c r="J555" s="28">
        <v>0.1</v>
      </c>
      <c r="K555" s="28"/>
      <c r="L555" s="28"/>
      <c r="M555" s="46"/>
    </row>
    <row r="556" ht="37.5" spans="2:13">
      <c r="B556" s="28">
        <f t="shared" si="10"/>
        <v>7361</v>
      </c>
      <c r="C556" s="28">
        <v>1</v>
      </c>
      <c r="D556" s="28" t="s">
        <v>1002</v>
      </c>
      <c r="E556" s="41" t="s">
        <v>1003</v>
      </c>
      <c r="F556" s="28" t="s">
        <v>109</v>
      </c>
      <c r="G556" s="28" t="s">
        <v>974</v>
      </c>
      <c r="H556" s="28" t="s">
        <v>182</v>
      </c>
      <c r="I556" s="28" t="s">
        <v>172</v>
      </c>
      <c r="J556" s="28">
        <v>0.1</v>
      </c>
      <c r="K556" s="28"/>
      <c r="L556" s="28"/>
      <c r="M556" s="46"/>
    </row>
    <row r="557" ht="37.5" spans="2:13">
      <c r="B557" s="28">
        <f t="shared" si="10"/>
        <v>7362</v>
      </c>
      <c r="C557" s="28">
        <v>1</v>
      </c>
      <c r="D557" s="28" t="s">
        <v>1004</v>
      </c>
      <c r="E557" s="41" t="s">
        <v>1005</v>
      </c>
      <c r="F557" s="28" t="s">
        <v>109</v>
      </c>
      <c r="G557" s="28" t="s">
        <v>974</v>
      </c>
      <c r="H557" s="28" t="s">
        <v>182</v>
      </c>
      <c r="I557" s="28" t="s">
        <v>172</v>
      </c>
      <c r="J557" s="28">
        <v>0.1</v>
      </c>
      <c r="K557" s="28"/>
      <c r="L557" s="28"/>
      <c r="M557" s="46"/>
    </row>
    <row r="558" ht="18.75" spans="2:13">
      <c r="B558" s="28">
        <f t="shared" si="10"/>
        <v>7363</v>
      </c>
      <c r="C558" s="28">
        <v>1</v>
      </c>
      <c r="D558" s="28" t="s">
        <v>1006</v>
      </c>
      <c r="E558" s="41" t="s">
        <v>1007</v>
      </c>
      <c r="F558" s="28" t="s">
        <v>109</v>
      </c>
      <c r="G558" s="28"/>
      <c r="H558" s="28" t="s">
        <v>172</v>
      </c>
      <c r="I558" s="28" t="s">
        <v>172</v>
      </c>
      <c r="J558" s="28">
        <v>1</v>
      </c>
      <c r="K558" s="28"/>
      <c r="L558" s="28"/>
      <c r="M558" s="46"/>
    </row>
    <row r="559" ht="37.5" spans="2:13">
      <c r="B559" s="28">
        <f t="shared" si="10"/>
        <v>7364</v>
      </c>
      <c r="C559" s="28">
        <v>1</v>
      </c>
      <c r="D559" s="28" t="s">
        <v>1008</v>
      </c>
      <c r="E559" s="41" t="s">
        <v>1009</v>
      </c>
      <c r="F559" s="28" t="s">
        <v>109</v>
      </c>
      <c r="G559" s="28" t="s">
        <v>263</v>
      </c>
      <c r="H559" s="28" t="s">
        <v>182</v>
      </c>
      <c r="I559" s="28" t="s">
        <v>468</v>
      </c>
      <c r="J559" s="28">
        <v>-0.1</v>
      </c>
      <c r="K559" s="28"/>
      <c r="L559" s="28"/>
      <c r="M559" s="46"/>
    </row>
    <row r="560" ht="37.5" spans="2:13">
      <c r="B560" s="28">
        <f t="shared" si="10"/>
        <v>7365</v>
      </c>
      <c r="C560" s="28">
        <v>1</v>
      </c>
      <c r="D560" s="28" t="s">
        <v>1010</v>
      </c>
      <c r="E560" s="41" t="s">
        <v>1011</v>
      </c>
      <c r="F560" s="28" t="s">
        <v>109</v>
      </c>
      <c r="G560" s="28" t="s">
        <v>263</v>
      </c>
      <c r="H560" s="28" t="s">
        <v>182</v>
      </c>
      <c r="I560" s="28" t="s">
        <v>468</v>
      </c>
      <c r="J560" s="28">
        <v>-0.1</v>
      </c>
      <c r="K560" s="28"/>
      <c r="L560" s="28"/>
      <c r="M560" s="46"/>
    </row>
    <row r="561" ht="18.75" spans="2:13">
      <c r="B561" s="28">
        <f t="shared" si="10"/>
        <v>7366</v>
      </c>
      <c r="C561" s="28">
        <v>1</v>
      </c>
      <c r="D561" s="28" t="s">
        <v>1012</v>
      </c>
      <c r="E561" s="41" t="s">
        <v>1013</v>
      </c>
      <c r="F561" s="28" t="s">
        <v>109</v>
      </c>
      <c r="G561" s="28" t="s">
        <v>256</v>
      </c>
      <c r="H561" s="28" t="s">
        <v>182</v>
      </c>
      <c r="I561" s="28" t="s">
        <v>468</v>
      </c>
      <c r="J561" s="28">
        <v>0.1</v>
      </c>
      <c r="K561" s="28"/>
      <c r="L561" s="28"/>
      <c r="M561" s="46"/>
    </row>
    <row r="562" ht="18.75" spans="2:13">
      <c r="B562" s="28">
        <f t="shared" si="10"/>
        <v>7367</v>
      </c>
      <c r="C562" s="28">
        <v>1</v>
      </c>
      <c r="D562" s="28" t="s">
        <v>1014</v>
      </c>
      <c r="E562" s="41" t="s">
        <v>1015</v>
      </c>
      <c r="F562" s="28" t="s">
        <v>109</v>
      </c>
      <c r="G562" s="28" t="s">
        <v>256</v>
      </c>
      <c r="H562" s="28" t="s">
        <v>182</v>
      </c>
      <c r="I562" s="28" t="s">
        <v>468</v>
      </c>
      <c r="J562" s="28">
        <v>0.1</v>
      </c>
      <c r="K562" s="28"/>
      <c r="L562" s="28"/>
      <c r="M562" s="46"/>
    </row>
    <row r="563" ht="37.5" spans="2:13">
      <c r="B563" s="28">
        <f t="shared" si="10"/>
        <v>7368</v>
      </c>
      <c r="C563" s="28">
        <v>1</v>
      </c>
      <c r="D563" s="28" t="s">
        <v>750</v>
      </c>
      <c r="E563" s="41" t="s">
        <v>751</v>
      </c>
      <c r="F563" s="28" t="s">
        <v>109</v>
      </c>
      <c r="G563" s="28" t="s">
        <v>974</v>
      </c>
      <c r="H563" s="28" t="s">
        <v>182</v>
      </c>
      <c r="I563" s="28" t="s">
        <v>468</v>
      </c>
      <c r="J563" s="28">
        <v>-0.1</v>
      </c>
      <c r="K563" s="28"/>
      <c r="L563" s="28"/>
      <c r="M563" s="46"/>
    </row>
    <row r="564" ht="37.5" spans="2:13">
      <c r="B564" s="28">
        <f t="shared" si="10"/>
        <v>7369</v>
      </c>
      <c r="C564" s="28">
        <v>1</v>
      </c>
      <c r="D564" s="28" t="s">
        <v>747</v>
      </c>
      <c r="E564" s="41" t="s">
        <v>748</v>
      </c>
      <c r="F564" s="28" t="s">
        <v>109</v>
      </c>
      <c r="G564" s="28" t="s">
        <v>974</v>
      </c>
      <c r="H564" s="28" t="s">
        <v>182</v>
      </c>
      <c r="I564" s="28" t="s">
        <v>468</v>
      </c>
      <c r="J564" s="28">
        <v>-0.1</v>
      </c>
      <c r="K564" s="28"/>
      <c r="L564" s="28"/>
      <c r="M564" s="46"/>
    </row>
    <row r="565" ht="18.75" spans="2:13">
      <c r="B565" s="28">
        <f t="shared" si="10"/>
        <v>7370</v>
      </c>
      <c r="C565" s="28">
        <v>1</v>
      </c>
      <c r="D565" s="28" t="s">
        <v>1016</v>
      </c>
      <c r="E565" s="41" t="s">
        <v>1017</v>
      </c>
      <c r="F565" s="28" t="s">
        <v>109</v>
      </c>
      <c r="G565" s="28" t="s">
        <v>149</v>
      </c>
      <c r="H565" s="28" t="s">
        <v>182</v>
      </c>
      <c r="I565" s="28" t="s">
        <v>172</v>
      </c>
      <c r="J565" s="28">
        <v>0.1</v>
      </c>
      <c r="K565" s="28"/>
      <c r="L565" s="28"/>
      <c r="M565" s="46"/>
    </row>
    <row r="566" ht="18.75" spans="2:13">
      <c r="B566" s="28">
        <f t="shared" si="10"/>
        <v>7371</v>
      </c>
      <c r="C566" s="28">
        <v>1</v>
      </c>
      <c r="D566" s="28" t="s">
        <v>1018</v>
      </c>
      <c r="E566" s="41" t="s">
        <v>1019</v>
      </c>
      <c r="F566" s="28" t="s">
        <v>109</v>
      </c>
      <c r="G566" s="28" t="s">
        <v>149</v>
      </c>
      <c r="H566" s="28" t="s">
        <v>182</v>
      </c>
      <c r="I566" s="28" t="s">
        <v>172</v>
      </c>
      <c r="J566" s="28">
        <v>0.1</v>
      </c>
      <c r="K566" s="28"/>
      <c r="L566" s="28"/>
      <c r="M566" s="46"/>
    </row>
    <row r="567" ht="37.5" spans="2:13">
      <c r="B567" s="28">
        <f t="shared" ref="B567:B630" si="11">B566+C566</f>
        <v>7372</v>
      </c>
      <c r="C567" s="28">
        <v>1</v>
      </c>
      <c r="D567" s="28" t="s">
        <v>754</v>
      </c>
      <c r="E567" s="41" t="s">
        <v>755</v>
      </c>
      <c r="F567" s="28" t="s">
        <v>109</v>
      </c>
      <c r="G567" s="28" t="s">
        <v>974</v>
      </c>
      <c r="H567" s="28" t="s">
        <v>182</v>
      </c>
      <c r="I567" s="28" t="s">
        <v>468</v>
      </c>
      <c r="J567" s="28">
        <v>0.1</v>
      </c>
      <c r="K567" s="28"/>
      <c r="L567" s="28"/>
      <c r="M567" s="46"/>
    </row>
    <row r="568" ht="37.5" spans="2:13">
      <c r="B568" s="28">
        <f t="shared" si="11"/>
        <v>7373</v>
      </c>
      <c r="C568" s="28">
        <v>1</v>
      </c>
      <c r="D568" s="28" t="s">
        <v>756</v>
      </c>
      <c r="E568" s="41" t="s">
        <v>757</v>
      </c>
      <c r="F568" s="28" t="s">
        <v>109</v>
      </c>
      <c r="G568" s="28" t="s">
        <v>974</v>
      </c>
      <c r="H568" s="28" t="s">
        <v>182</v>
      </c>
      <c r="I568" s="28" t="s">
        <v>468</v>
      </c>
      <c r="J568" s="28">
        <v>0.1</v>
      </c>
      <c r="K568" s="28"/>
      <c r="L568" s="28"/>
      <c r="M568" s="46"/>
    </row>
    <row r="569" ht="37.5" spans="2:13">
      <c r="B569" s="28">
        <f t="shared" si="11"/>
        <v>7374</v>
      </c>
      <c r="C569" s="28">
        <v>1</v>
      </c>
      <c r="D569" s="28" t="s">
        <v>1020</v>
      </c>
      <c r="E569" s="41" t="s">
        <v>1021</v>
      </c>
      <c r="F569" s="28" t="s">
        <v>109</v>
      </c>
      <c r="G569" s="28" t="s">
        <v>974</v>
      </c>
      <c r="H569" s="28" t="s">
        <v>182</v>
      </c>
      <c r="I569" s="28" t="s">
        <v>468</v>
      </c>
      <c r="J569" s="28">
        <v>0.1</v>
      </c>
      <c r="K569" s="28"/>
      <c r="L569" s="28"/>
      <c r="M569" s="46"/>
    </row>
    <row r="570" ht="37.5" spans="2:13">
      <c r="B570" s="28">
        <f t="shared" si="11"/>
        <v>7375</v>
      </c>
      <c r="C570" s="28">
        <v>1</v>
      </c>
      <c r="D570" s="28" t="s">
        <v>1022</v>
      </c>
      <c r="E570" s="41" t="s">
        <v>1023</v>
      </c>
      <c r="F570" s="28" t="s">
        <v>109</v>
      </c>
      <c r="G570" s="28" t="s">
        <v>974</v>
      </c>
      <c r="H570" s="28" t="s">
        <v>182</v>
      </c>
      <c r="I570" s="28" t="s">
        <v>468</v>
      </c>
      <c r="J570" s="28">
        <v>0.1</v>
      </c>
      <c r="K570" s="28"/>
      <c r="L570" s="28"/>
      <c r="M570" s="46"/>
    </row>
    <row r="571" ht="37.5" spans="2:13">
      <c r="B571" s="28">
        <f t="shared" si="11"/>
        <v>7376</v>
      </c>
      <c r="C571" s="28">
        <v>1</v>
      </c>
      <c r="D571" s="28" t="s">
        <v>1024</v>
      </c>
      <c r="E571" s="41" t="s">
        <v>1025</v>
      </c>
      <c r="F571" s="28" t="s">
        <v>109</v>
      </c>
      <c r="G571" s="28" t="s">
        <v>974</v>
      </c>
      <c r="H571" s="28" t="s">
        <v>182</v>
      </c>
      <c r="I571" s="28" t="s">
        <v>468</v>
      </c>
      <c r="J571" s="28">
        <v>0.1</v>
      </c>
      <c r="K571" s="28"/>
      <c r="L571" s="28"/>
      <c r="M571" s="46"/>
    </row>
    <row r="572" ht="37.5" spans="2:13">
      <c r="B572" s="28">
        <f t="shared" si="11"/>
        <v>7377</v>
      </c>
      <c r="C572" s="28">
        <v>1</v>
      </c>
      <c r="D572" s="28" t="s">
        <v>1026</v>
      </c>
      <c r="E572" s="41" t="s">
        <v>1027</v>
      </c>
      <c r="F572" s="28" t="s">
        <v>109</v>
      </c>
      <c r="G572" s="28" t="s">
        <v>974</v>
      </c>
      <c r="H572" s="28" t="s">
        <v>182</v>
      </c>
      <c r="I572" s="28" t="s">
        <v>468</v>
      </c>
      <c r="J572" s="28">
        <v>0.1</v>
      </c>
      <c r="K572" s="28"/>
      <c r="L572" s="28"/>
      <c r="M572" s="46"/>
    </row>
    <row r="573" ht="37.5" spans="2:13">
      <c r="B573" s="28">
        <f t="shared" si="11"/>
        <v>7378</v>
      </c>
      <c r="C573" s="28">
        <v>1</v>
      </c>
      <c r="D573" s="28" t="s">
        <v>1028</v>
      </c>
      <c r="E573" s="41" t="s">
        <v>1029</v>
      </c>
      <c r="F573" s="28" t="s">
        <v>109</v>
      </c>
      <c r="G573" s="28" t="s">
        <v>974</v>
      </c>
      <c r="H573" s="28" t="s">
        <v>182</v>
      </c>
      <c r="I573" s="28" t="s">
        <v>468</v>
      </c>
      <c r="J573" s="28">
        <v>0.1</v>
      </c>
      <c r="K573" s="28"/>
      <c r="L573" s="28"/>
      <c r="M573" s="46"/>
    </row>
    <row r="574" ht="37.5" spans="2:13">
      <c r="B574" s="28">
        <f t="shared" si="11"/>
        <v>7379</v>
      </c>
      <c r="C574" s="28">
        <v>1</v>
      </c>
      <c r="D574" s="28" t="s">
        <v>1030</v>
      </c>
      <c r="E574" s="41" t="s">
        <v>1031</v>
      </c>
      <c r="F574" s="28" t="s">
        <v>109</v>
      </c>
      <c r="G574" s="28" t="s">
        <v>974</v>
      </c>
      <c r="H574" s="28" t="s">
        <v>182</v>
      </c>
      <c r="I574" s="28" t="s">
        <v>468</v>
      </c>
      <c r="J574" s="28">
        <v>0.1</v>
      </c>
      <c r="K574" s="28"/>
      <c r="L574" s="28"/>
      <c r="M574" s="46"/>
    </row>
    <row r="575" ht="18.75" spans="2:13">
      <c r="B575" s="28">
        <f t="shared" si="11"/>
        <v>7380</v>
      </c>
      <c r="C575" s="28">
        <v>1</v>
      </c>
      <c r="D575" s="28" t="s">
        <v>1032</v>
      </c>
      <c r="E575" s="41" t="s">
        <v>1033</v>
      </c>
      <c r="F575" s="28" t="s">
        <v>109</v>
      </c>
      <c r="G575" s="28" t="s">
        <v>256</v>
      </c>
      <c r="H575" s="28" t="s">
        <v>182</v>
      </c>
      <c r="I575" s="28" t="s">
        <v>172</v>
      </c>
      <c r="J575" s="28">
        <v>0.1</v>
      </c>
      <c r="K575" s="28"/>
      <c r="L575" s="28"/>
      <c r="M575" s="46"/>
    </row>
    <row r="576" ht="18.75" spans="2:13">
      <c r="B576" s="28">
        <f t="shared" si="11"/>
        <v>7381</v>
      </c>
      <c r="C576" s="28">
        <v>1</v>
      </c>
      <c r="D576" s="28" t="s">
        <v>776</v>
      </c>
      <c r="E576" s="41" t="s">
        <v>777</v>
      </c>
      <c r="F576" s="28" t="s">
        <v>109</v>
      </c>
      <c r="G576" s="28" t="s">
        <v>974</v>
      </c>
      <c r="H576" s="28" t="s">
        <v>182</v>
      </c>
      <c r="I576" s="28" t="s">
        <v>172</v>
      </c>
      <c r="J576" s="28">
        <v>0.1</v>
      </c>
      <c r="K576" s="28"/>
      <c r="L576" s="28"/>
      <c r="M576" s="46"/>
    </row>
    <row r="577" ht="18.75" spans="2:14">
      <c r="B577" s="28">
        <f t="shared" si="11"/>
        <v>7382</v>
      </c>
      <c r="C577" s="28">
        <v>1</v>
      </c>
      <c r="D577" s="28" t="s">
        <v>1034</v>
      </c>
      <c r="E577" s="41" t="s">
        <v>1035</v>
      </c>
      <c r="F577" s="28" t="s">
        <v>109</v>
      </c>
      <c r="G577" s="28" t="s">
        <v>263</v>
      </c>
      <c r="H577" s="28" t="s">
        <v>182</v>
      </c>
      <c r="I577" s="28" t="s">
        <v>172</v>
      </c>
      <c r="J577" s="28">
        <v>0.1</v>
      </c>
      <c r="K577" s="28"/>
      <c r="L577" s="28"/>
      <c r="M577" s="46"/>
    </row>
    <row r="578" ht="37.5" spans="2:14">
      <c r="B578" s="28">
        <f t="shared" si="11"/>
        <v>7383</v>
      </c>
      <c r="C578" s="28">
        <v>1</v>
      </c>
      <c r="D578" s="28" t="s">
        <v>1036</v>
      </c>
      <c r="E578" s="41" t="s">
        <v>1037</v>
      </c>
      <c r="F578" s="28" t="s">
        <v>109</v>
      </c>
      <c r="G578" s="28"/>
      <c r="H578" s="28" t="s">
        <v>230</v>
      </c>
      <c r="I578" s="28" t="s">
        <v>230</v>
      </c>
      <c r="J578" s="28">
        <v>1</v>
      </c>
      <c r="K578" s="28"/>
      <c r="L578" s="28"/>
      <c r="M578" s="46"/>
    </row>
    <row r="579" s="34" customFormat="1" ht="18.75" spans="2:14">
      <c r="B579" s="44">
        <f t="shared" si="11"/>
        <v>7384</v>
      </c>
      <c r="C579" s="44">
        <v>1</v>
      </c>
      <c r="D579" s="44" t="s">
        <v>1038</v>
      </c>
      <c r="E579" s="48" t="s">
        <v>1039</v>
      </c>
      <c r="F579" s="44" t="s">
        <v>109</v>
      </c>
      <c r="G579" s="44" t="s">
        <v>332</v>
      </c>
      <c r="H579" s="44" t="s">
        <v>172</v>
      </c>
      <c r="I579" s="44" t="s">
        <v>172</v>
      </c>
      <c r="J579" s="44">
        <v>1</v>
      </c>
      <c r="K579" s="44"/>
      <c r="L579" s="44"/>
      <c r="M579" s="47" t="s">
        <v>1040</v>
      </c>
      <c r="N579" s="34" t="s">
        <v>1041</v>
      </c>
    </row>
    <row r="580" ht="37.5" spans="2:14">
      <c r="B580" s="28">
        <f t="shared" si="11"/>
        <v>7385</v>
      </c>
      <c r="C580" s="28">
        <v>1</v>
      </c>
      <c r="D580" s="28" t="s">
        <v>798</v>
      </c>
      <c r="E580" s="41" t="s">
        <v>799</v>
      </c>
      <c r="F580" s="28" t="s">
        <v>109</v>
      </c>
      <c r="G580" s="28" t="s">
        <v>256</v>
      </c>
      <c r="H580" s="28" t="s">
        <v>182</v>
      </c>
      <c r="I580" s="28" t="s">
        <v>172</v>
      </c>
      <c r="J580" s="28">
        <v>0.1</v>
      </c>
      <c r="K580" s="28"/>
      <c r="L580" s="28"/>
      <c r="M580" s="46"/>
    </row>
    <row r="581" ht="37.5" spans="2:14">
      <c r="B581" s="28">
        <f t="shared" si="11"/>
        <v>7386</v>
      </c>
      <c r="C581" s="28">
        <v>1</v>
      </c>
      <c r="D581" s="28" t="s">
        <v>800</v>
      </c>
      <c r="E581" s="41" t="s">
        <v>1042</v>
      </c>
      <c r="F581" s="28" t="s">
        <v>109</v>
      </c>
      <c r="G581" s="28" t="s">
        <v>256</v>
      </c>
      <c r="H581" s="28" t="s">
        <v>182</v>
      </c>
      <c r="I581" s="28" t="s">
        <v>172</v>
      </c>
      <c r="J581" s="28">
        <v>0.1</v>
      </c>
      <c r="K581" s="28"/>
      <c r="L581" s="28"/>
      <c r="M581" s="46"/>
    </row>
    <row r="582" ht="18.75" spans="2:14">
      <c r="B582" s="28">
        <f t="shared" si="11"/>
        <v>7387</v>
      </c>
      <c r="C582" s="28">
        <v>1</v>
      </c>
      <c r="D582" s="28" t="s">
        <v>766</v>
      </c>
      <c r="E582" s="41" t="s">
        <v>767</v>
      </c>
      <c r="F582" s="28" t="s">
        <v>109</v>
      </c>
      <c r="G582" s="28" t="s">
        <v>149</v>
      </c>
      <c r="H582" s="28" t="s">
        <v>182</v>
      </c>
      <c r="I582" s="28" t="s">
        <v>172</v>
      </c>
      <c r="J582" s="28">
        <v>0.1</v>
      </c>
      <c r="K582" s="28"/>
      <c r="L582" s="28"/>
      <c r="M582" s="46"/>
    </row>
    <row r="583" ht="37.5" spans="2:14">
      <c r="B583" s="28">
        <f t="shared" si="11"/>
        <v>7388</v>
      </c>
      <c r="C583" s="28">
        <v>1</v>
      </c>
      <c r="D583" s="28" t="s">
        <v>768</v>
      </c>
      <c r="E583" s="41" t="s">
        <v>1043</v>
      </c>
      <c r="F583" s="28" t="s">
        <v>109</v>
      </c>
      <c r="G583" s="28" t="s">
        <v>149</v>
      </c>
      <c r="H583" s="28" t="s">
        <v>182</v>
      </c>
      <c r="I583" s="28" t="s">
        <v>172</v>
      </c>
      <c r="J583" s="28">
        <v>0.1</v>
      </c>
      <c r="K583" s="28"/>
      <c r="L583" s="28"/>
      <c r="M583" s="46"/>
    </row>
    <row r="584" ht="18.75" spans="2:14">
      <c r="B584" s="28">
        <f t="shared" si="11"/>
        <v>7389</v>
      </c>
      <c r="C584" s="28">
        <v>1</v>
      </c>
      <c r="D584" s="28" t="s">
        <v>1044</v>
      </c>
      <c r="E584" s="41" t="s">
        <v>1045</v>
      </c>
      <c r="F584" s="28" t="s">
        <v>109</v>
      </c>
      <c r="G584" s="28"/>
      <c r="H584" s="28" t="s">
        <v>172</v>
      </c>
      <c r="I584" s="28" t="s">
        <v>172</v>
      </c>
      <c r="J584" s="28">
        <v>1</v>
      </c>
      <c r="K584" s="28"/>
      <c r="L584" s="28"/>
      <c r="M584" s="46"/>
    </row>
    <row r="585" ht="18.75" spans="2:14">
      <c r="B585" s="28">
        <f t="shared" si="11"/>
        <v>7390</v>
      </c>
      <c r="C585" s="28">
        <v>1</v>
      </c>
      <c r="D585" s="28" t="s">
        <v>1046</v>
      </c>
      <c r="E585" s="41" t="s">
        <v>1047</v>
      </c>
      <c r="F585" s="28" t="s">
        <v>109</v>
      </c>
      <c r="G585" s="28"/>
      <c r="H585" s="28" t="s">
        <v>172</v>
      </c>
      <c r="I585" s="28" t="s">
        <v>172</v>
      </c>
      <c r="J585" s="28">
        <v>1</v>
      </c>
      <c r="K585" s="28"/>
      <c r="L585" s="28" t="s">
        <v>1048</v>
      </c>
      <c r="M585" s="46"/>
    </row>
    <row r="586" ht="18.75" spans="2:14">
      <c r="B586" s="28">
        <f t="shared" si="11"/>
        <v>7391</v>
      </c>
      <c r="C586" s="28">
        <v>1</v>
      </c>
      <c r="D586" s="28" t="s">
        <v>1049</v>
      </c>
      <c r="E586" s="41" t="s">
        <v>1050</v>
      </c>
      <c r="F586" s="28" t="s">
        <v>109</v>
      </c>
      <c r="G586" s="28" t="s">
        <v>319</v>
      </c>
      <c r="H586" s="28" t="s">
        <v>172</v>
      </c>
      <c r="I586" s="28" t="s">
        <v>172</v>
      </c>
      <c r="J586" s="28">
        <v>1</v>
      </c>
      <c r="K586" s="28"/>
      <c r="L586" s="28" t="s">
        <v>1051</v>
      </c>
      <c r="M586" s="46"/>
    </row>
    <row r="587" ht="18.75" spans="2:14">
      <c r="B587" s="28">
        <f t="shared" si="11"/>
        <v>7392</v>
      </c>
      <c r="C587" s="28">
        <v>1</v>
      </c>
      <c r="D587" s="28" t="s">
        <v>1052</v>
      </c>
      <c r="E587" s="41" t="s">
        <v>1053</v>
      </c>
      <c r="F587" s="28" t="s">
        <v>109</v>
      </c>
      <c r="G587" s="28" t="s">
        <v>256</v>
      </c>
      <c r="H587" s="28" t="s">
        <v>172</v>
      </c>
      <c r="I587" s="28" t="s">
        <v>172</v>
      </c>
      <c r="J587" s="28">
        <v>1</v>
      </c>
      <c r="K587" s="28"/>
      <c r="L587" s="28" t="s">
        <v>1054</v>
      </c>
      <c r="M587" s="46"/>
    </row>
    <row r="588" s="34" customFormat="1" ht="37.5" spans="2:14">
      <c r="B588" s="44">
        <f t="shared" si="11"/>
        <v>7393</v>
      </c>
      <c r="C588" s="44">
        <v>1</v>
      </c>
      <c r="D588" s="44" t="s">
        <v>812</v>
      </c>
      <c r="E588" s="48" t="s">
        <v>1055</v>
      </c>
      <c r="F588" s="44" t="s">
        <v>109</v>
      </c>
      <c r="G588" s="44" t="s">
        <v>1056</v>
      </c>
      <c r="H588" s="44" t="s">
        <v>182</v>
      </c>
      <c r="I588" s="44" t="s">
        <v>172</v>
      </c>
      <c r="J588" s="44">
        <v>0.1</v>
      </c>
      <c r="K588" s="44"/>
      <c r="L588" s="44"/>
      <c r="M588" s="47"/>
      <c r="N588" s="34" t="s">
        <v>1057</v>
      </c>
    </row>
    <row r="589" s="34" customFormat="1" ht="37.5" spans="2:14">
      <c r="B589" s="44">
        <f t="shared" si="11"/>
        <v>7394</v>
      </c>
      <c r="C589" s="44">
        <v>1</v>
      </c>
      <c r="D589" s="44" t="s">
        <v>814</v>
      </c>
      <c r="E589" s="48" t="s">
        <v>1058</v>
      </c>
      <c r="F589" s="44" t="s">
        <v>109</v>
      </c>
      <c r="G589" s="44" t="s">
        <v>1056</v>
      </c>
      <c r="H589" s="44" t="s">
        <v>182</v>
      </c>
      <c r="I589" s="44" t="s">
        <v>172</v>
      </c>
      <c r="J589" s="44">
        <v>0.1</v>
      </c>
      <c r="K589" s="44"/>
      <c r="L589" s="44"/>
      <c r="M589" s="47"/>
      <c r="N589" s="34" t="s">
        <v>1058</v>
      </c>
    </row>
    <row r="590" ht="18.75" spans="2:14">
      <c r="B590" s="28">
        <f t="shared" si="11"/>
        <v>7395</v>
      </c>
      <c r="C590" s="28">
        <v>1</v>
      </c>
      <c r="D590" s="28" t="s">
        <v>1059</v>
      </c>
      <c r="E590" s="41" t="s">
        <v>1060</v>
      </c>
      <c r="F590" s="28" t="s">
        <v>109</v>
      </c>
      <c r="G590" s="28" t="s">
        <v>256</v>
      </c>
      <c r="H590" s="28" t="s">
        <v>182</v>
      </c>
      <c r="I590" s="28" t="s">
        <v>172</v>
      </c>
      <c r="J590" s="28">
        <v>0.1</v>
      </c>
      <c r="K590" s="28"/>
      <c r="L590" s="28"/>
      <c r="M590" s="46"/>
    </row>
    <row r="591" ht="18.75" spans="2:14">
      <c r="B591" s="28">
        <f t="shared" si="11"/>
        <v>7396</v>
      </c>
      <c r="C591" s="28">
        <v>1</v>
      </c>
      <c r="D591" s="28" t="s">
        <v>1061</v>
      </c>
      <c r="E591" s="41" t="s">
        <v>1062</v>
      </c>
      <c r="F591" s="28" t="s">
        <v>109</v>
      </c>
      <c r="G591" s="28" t="s">
        <v>256</v>
      </c>
      <c r="H591" s="28" t="s">
        <v>182</v>
      </c>
      <c r="I591" s="28" t="s">
        <v>172</v>
      </c>
      <c r="J591" s="28">
        <v>0.1</v>
      </c>
      <c r="K591" s="28"/>
      <c r="L591" s="28"/>
      <c r="M591" s="46"/>
    </row>
    <row r="592" ht="18.75" spans="2:14">
      <c r="B592" s="28">
        <f t="shared" si="11"/>
        <v>7397</v>
      </c>
      <c r="C592" s="28">
        <v>1</v>
      </c>
      <c r="D592" s="28" t="s">
        <v>1063</v>
      </c>
      <c r="E592" s="41" t="s">
        <v>1064</v>
      </c>
      <c r="F592" s="28" t="s">
        <v>109</v>
      </c>
      <c r="G592" s="28"/>
      <c r="H592" s="28" t="s">
        <v>172</v>
      </c>
      <c r="I592" s="28" t="s">
        <v>172</v>
      </c>
      <c r="J592" s="28">
        <v>1</v>
      </c>
      <c r="K592" s="28"/>
      <c r="L592" s="28"/>
      <c r="M592" s="46"/>
    </row>
    <row r="593" ht="18.75" spans="2:13">
      <c r="B593" s="28">
        <f t="shared" si="11"/>
        <v>7398</v>
      </c>
      <c r="C593" s="28">
        <v>1</v>
      </c>
      <c r="D593" s="28" t="s">
        <v>1065</v>
      </c>
      <c r="E593" s="41" t="s">
        <v>1066</v>
      </c>
      <c r="F593" s="28" t="s">
        <v>109</v>
      </c>
      <c r="G593" s="28"/>
      <c r="H593" s="28" t="s">
        <v>172</v>
      </c>
      <c r="I593" s="28" t="s">
        <v>172</v>
      </c>
      <c r="J593" s="28">
        <v>1</v>
      </c>
      <c r="K593" s="28"/>
      <c r="L593" s="28"/>
      <c r="M593" s="46"/>
    </row>
    <row r="594" ht="18.75" spans="2:13">
      <c r="B594" s="28">
        <f t="shared" si="11"/>
        <v>7399</v>
      </c>
      <c r="C594" s="28">
        <v>1</v>
      </c>
      <c r="D594" s="28" t="s">
        <v>1067</v>
      </c>
      <c r="E594" s="41" t="s">
        <v>1068</v>
      </c>
      <c r="F594" s="28" t="s">
        <v>109</v>
      </c>
      <c r="G594" s="28"/>
      <c r="H594" s="28" t="s">
        <v>172</v>
      </c>
      <c r="I594" s="28" t="s">
        <v>172</v>
      </c>
      <c r="J594" s="28">
        <v>1</v>
      </c>
      <c r="K594" s="28"/>
      <c r="L594" s="28"/>
      <c r="M594" s="46"/>
    </row>
    <row r="595" ht="18.75" spans="2:13">
      <c r="B595" s="28">
        <f t="shared" si="11"/>
        <v>7400</v>
      </c>
      <c r="C595" s="28">
        <v>1</v>
      </c>
      <c r="D595" s="28" t="s">
        <v>1069</v>
      </c>
      <c r="E595" s="41" t="s">
        <v>1070</v>
      </c>
      <c r="F595" s="28" t="s">
        <v>109</v>
      </c>
      <c r="G595" s="28"/>
      <c r="H595" s="28" t="s">
        <v>172</v>
      </c>
      <c r="I595" s="28" t="s">
        <v>172</v>
      </c>
      <c r="J595" s="28">
        <v>1</v>
      </c>
      <c r="K595" s="28"/>
      <c r="L595" s="28"/>
      <c r="M595" s="46"/>
    </row>
    <row r="596" ht="18.75" spans="2:13">
      <c r="B596" s="28">
        <f t="shared" si="11"/>
        <v>7401</v>
      </c>
      <c r="C596" s="28">
        <v>1</v>
      </c>
      <c r="D596" s="28" t="s">
        <v>1071</v>
      </c>
      <c r="E596" s="41" t="s">
        <v>1072</v>
      </c>
      <c r="F596" s="28" t="s">
        <v>109</v>
      </c>
      <c r="G596" s="28"/>
      <c r="H596" s="28" t="s">
        <v>172</v>
      </c>
      <c r="I596" s="28" t="s">
        <v>172</v>
      </c>
      <c r="J596" s="28">
        <v>1</v>
      </c>
      <c r="K596" s="28"/>
      <c r="L596" s="28"/>
      <c r="M596" s="46"/>
    </row>
    <row r="597" ht="18.75" spans="2:13">
      <c r="B597" s="28">
        <f t="shared" si="11"/>
        <v>7402</v>
      </c>
      <c r="C597" s="28">
        <v>1</v>
      </c>
      <c r="D597" s="28" t="s">
        <v>1073</v>
      </c>
      <c r="E597" s="41" t="s">
        <v>1074</v>
      </c>
      <c r="F597" s="28" t="s">
        <v>109</v>
      </c>
      <c r="G597" s="28"/>
      <c r="H597" s="28" t="s">
        <v>172</v>
      </c>
      <c r="I597" s="28" t="s">
        <v>172</v>
      </c>
      <c r="J597" s="28">
        <v>1</v>
      </c>
      <c r="K597" s="28"/>
      <c r="L597" s="28"/>
      <c r="M597" s="46"/>
    </row>
    <row r="598" ht="18.75" spans="2:13">
      <c r="B598" s="28">
        <f t="shared" si="11"/>
        <v>7403</v>
      </c>
      <c r="C598" s="28">
        <v>1</v>
      </c>
      <c r="D598" s="28" t="s">
        <v>1075</v>
      </c>
      <c r="E598" s="41" t="s">
        <v>1076</v>
      </c>
      <c r="F598" s="28" t="s">
        <v>109</v>
      </c>
      <c r="G598" s="28"/>
      <c r="H598" s="28" t="s">
        <v>172</v>
      </c>
      <c r="I598" s="28" t="s">
        <v>172</v>
      </c>
      <c r="J598" s="28">
        <v>1</v>
      </c>
      <c r="K598" s="28"/>
      <c r="L598" s="28"/>
      <c r="M598" s="46"/>
    </row>
    <row r="599" ht="18.75" spans="2:13">
      <c r="B599" s="28">
        <f t="shared" si="11"/>
        <v>7404</v>
      </c>
      <c r="C599" s="28">
        <v>1</v>
      </c>
      <c r="D599" s="28" t="s">
        <v>1077</v>
      </c>
      <c r="E599" s="41" t="s">
        <v>1078</v>
      </c>
      <c r="F599" s="28" t="s">
        <v>109</v>
      </c>
      <c r="G599" s="28"/>
      <c r="H599" s="28" t="s">
        <v>172</v>
      </c>
      <c r="I599" s="28" t="s">
        <v>172</v>
      </c>
      <c r="J599" s="28">
        <v>1</v>
      </c>
      <c r="K599" s="28"/>
      <c r="L599" s="28"/>
      <c r="M599" s="46"/>
    </row>
    <row r="600" ht="18.75" spans="2:13">
      <c r="B600" s="28">
        <f t="shared" si="11"/>
        <v>7405</v>
      </c>
      <c r="C600" s="28">
        <v>1</v>
      </c>
      <c r="D600" s="28" t="s">
        <v>1079</v>
      </c>
      <c r="E600" s="41" t="s">
        <v>1080</v>
      </c>
      <c r="F600" s="28" t="s">
        <v>109</v>
      </c>
      <c r="G600" s="28"/>
      <c r="H600" s="28" t="s">
        <v>182</v>
      </c>
      <c r="I600" s="28" t="s">
        <v>172</v>
      </c>
      <c r="J600" s="28">
        <v>1</v>
      </c>
      <c r="K600" s="28"/>
      <c r="L600" s="28"/>
      <c r="M600" s="46"/>
    </row>
    <row r="601" ht="18.75" spans="2:13">
      <c r="B601" s="28">
        <f t="shared" si="11"/>
        <v>7406</v>
      </c>
      <c r="C601" s="28">
        <v>1</v>
      </c>
      <c r="D601" s="28" t="s">
        <v>1081</v>
      </c>
      <c r="E601" s="41" t="s">
        <v>1082</v>
      </c>
      <c r="F601" s="28" t="s">
        <v>109</v>
      </c>
      <c r="G601" s="28"/>
      <c r="H601" s="28" t="s">
        <v>172</v>
      </c>
      <c r="I601" s="28" t="s">
        <v>172</v>
      </c>
      <c r="J601" s="28">
        <v>1</v>
      </c>
      <c r="K601" s="28"/>
      <c r="L601" s="28"/>
      <c r="M601" s="46"/>
    </row>
    <row r="602" ht="37.5" spans="2:13">
      <c r="B602" s="28">
        <f t="shared" si="11"/>
        <v>7407</v>
      </c>
      <c r="C602" s="28">
        <v>1</v>
      </c>
      <c r="D602" s="28" t="s">
        <v>1083</v>
      </c>
      <c r="E602" s="41" t="s">
        <v>1084</v>
      </c>
      <c r="F602" s="28" t="s">
        <v>109</v>
      </c>
      <c r="G602" s="28" t="s">
        <v>1085</v>
      </c>
      <c r="H602" s="28" t="s">
        <v>172</v>
      </c>
      <c r="I602" s="28" t="s">
        <v>172</v>
      </c>
      <c r="J602" s="28">
        <v>1</v>
      </c>
      <c r="K602" s="28"/>
      <c r="L602" s="28"/>
      <c r="M602" s="46"/>
    </row>
    <row r="603" ht="18.75" spans="2:13">
      <c r="B603" s="28">
        <f t="shared" si="11"/>
        <v>7408</v>
      </c>
      <c r="C603" s="28">
        <v>1</v>
      </c>
      <c r="D603" s="28" t="s">
        <v>1086</v>
      </c>
      <c r="E603" s="41" t="s">
        <v>1087</v>
      </c>
      <c r="F603" s="28" t="s">
        <v>109</v>
      </c>
      <c r="G603" s="28" t="s">
        <v>1056</v>
      </c>
      <c r="H603" s="28" t="s">
        <v>172</v>
      </c>
      <c r="I603" s="28" t="s">
        <v>172</v>
      </c>
      <c r="J603" s="28">
        <v>1</v>
      </c>
      <c r="K603" s="28"/>
      <c r="L603" s="28"/>
      <c r="M603" s="46"/>
    </row>
    <row r="604" ht="18.75" spans="2:13">
      <c r="B604" s="28">
        <f t="shared" si="11"/>
        <v>7409</v>
      </c>
      <c r="C604" s="28">
        <v>2</v>
      </c>
      <c r="D604" s="28" t="s">
        <v>1088</v>
      </c>
      <c r="E604" s="41" t="s">
        <v>1089</v>
      </c>
      <c r="F604" s="28" t="s">
        <v>109</v>
      </c>
      <c r="G604" s="28"/>
      <c r="H604" s="28" t="s">
        <v>450</v>
      </c>
      <c r="I604" s="28" t="s">
        <v>450</v>
      </c>
      <c r="J604" s="28">
        <v>1</v>
      </c>
      <c r="K604" s="28"/>
      <c r="L604" s="28"/>
      <c r="M604" s="46"/>
    </row>
    <row r="605" ht="37.5" spans="2:13">
      <c r="B605" s="28">
        <f t="shared" si="11"/>
        <v>7411</v>
      </c>
      <c r="C605" s="28">
        <v>2</v>
      </c>
      <c r="D605" s="28" t="s">
        <v>1090</v>
      </c>
      <c r="E605" s="41" t="s">
        <v>1091</v>
      </c>
      <c r="F605" s="28" t="s">
        <v>109</v>
      </c>
      <c r="G605" s="28"/>
      <c r="H605" s="28" t="s">
        <v>450</v>
      </c>
      <c r="I605" s="28" t="s">
        <v>450</v>
      </c>
      <c r="J605" s="28">
        <v>1</v>
      </c>
      <c r="K605" s="28"/>
      <c r="L605" s="28"/>
      <c r="M605" s="46"/>
    </row>
    <row r="606" ht="18.75" spans="2:13">
      <c r="B606" s="28">
        <f t="shared" si="11"/>
        <v>7413</v>
      </c>
      <c r="C606" s="28">
        <v>2</v>
      </c>
      <c r="D606" s="28" t="s">
        <v>437</v>
      </c>
      <c r="E606" s="41" t="s">
        <v>1092</v>
      </c>
      <c r="F606" s="28" t="s">
        <v>109</v>
      </c>
      <c r="G606" s="28"/>
      <c r="H606" s="28" t="s">
        <v>450</v>
      </c>
      <c r="I606" s="28" t="s">
        <v>450</v>
      </c>
      <c r="J606" s="28">
        <v>1</v>
      </c>
      <c r="K606" s="28"/>
      <c r="L606" s="28"/>
      <c r="M606" s="46"/>
    </row>
    <row r="607" ht="18.75" spans="2:13">
      <c r="B607" s="28">
        <f t="shared" si="11"/>
        <v>7415</v>
      </c>
      <c r="C607" s="28">
        <v>1</v>
      </c>
      <c r="D607" s="28" t="s">
        <v>1093</v>
      </c>
      <c r="E607" s="41" t="s">
        <v>1094</v>
      </c>
      <c r="F607" s="28" t="s">
        <v>109</v>
      </c>
      <c r="G607" s="28" t="s">
        <v>974</v>
      </c>
      <c r="H607" s="28" t="s">
        <v>182</v>
      </c>
      <c r="I607" s="28" t="s">
        <v>172</v>
      </c>
      <c r="J607" s="28">
        <v>0.1</v>
      </c>
      <c r="K607" s="28"/>
      <c r="L607" s="28"/>
      <c r="M607" s="46"/>
    </row>
    <row r="608" ht="18.75" spans="2:13">
      <c r="B608" s="28">
        <f t="shared" si="11"/>
        <v>7416</v>
      </c>
      <c r="C608" s="28">
        <v>1</v>
      </c>
      <c r="D608" s="28" t="s">
        <v>1095</v>
      </c>
      <c r="E608" s="41" t="s">
        <v>1096</v>
      </c>
      <c r="F608" s="28" t="s">
        <v>109</v>
      </c>
      <c r="G608" s="28" t="s">
        <v>974</v>
      </c>
      <c r="H608" s="28" t="s">
        <v>182</v>
      </c>
      <c r="I608" s="28" t="s">
        <v>468</v>
      </c>
      <c r="J608" s="28">
        <v>0.1</v>
      </c>
      <c r="K608" s="28"/>
      <c r="L608" s="28"/>
      <c r="M608" s="46"/>
    </row>
    <row r="609" ht="18.75" spans="2:13">
      <c r="B609" s="28">
        <f t="shared" si="11"/>
        <v>7417</v>
      </c>
      <c r="C609" s="28">
        <v>1</v>
      </c>
      <c r="D609" s="28" t="s">
        <v>1097</v>
      </c>
      <c r="E609" s="41" t="s">
        <v>1098</v>
      </c>
      <c r="F609" s="28" t="s">
        <v>109</v>
      </c>
      <c r="G609" s="28" t="s">
        <v>974</v>
      </c>
      <c r="H609" s="28" t="s">
        <v>182</v>
      </c>
      <c r="I609" s="28" t="s">
        <v>172</v>
      </c>
      <c r="J609" s="28">
        <v>0.1</v>
      </c>
      <c r="K609" s="28"/>
      <c r="L609" s="28"/>
      <c r="M609" s="46"/>
    </row>
    <row r="610" ht="18.75" spans="2:13">
      <c r="B610" s="28">
        <f t="shared" si="11"/>
        <v>7418</v>
      </c>
      <c r="C610" s="28">
        <v>1</v>
      </c>
      <c r="D610" s="28" t="s">
        <v>1099</v>
      </c>
      <c r="E610" s="41" t="s">
        <v>1100</v>
      </c>
      <c r="F610" s="28" t="s">
        <v>109</v>
      </c>
      <c r="G610" s="28" t="s">
        <v>149</v>
      </c>
      <c r="H610" s="28" t="s">
        <v>182</v>
      </c>
      <c r="I610" s="28" t="s">
        <v>172</v>
      </c>
      <c r="J610" s="28">
        <v>0.1</v>
      </c>
      <c r="K610" s="28"/>
      <c r="L610" s="28"/>
      <c r="M610" s="46"/>
    </row>
    <row r="611" ht="18.75" spans="2:13">
      <c r="B611" s="28">
        <f t="shared" si="11"/>
        <v>7419</v>
      </c>
      <c r="C611" s="28">
        <v>1</v>
      </c>
      <c r="D611" s="28" t="s">
        <v>1101</v>
      </c>
      <c r="E611" s="41" t="s">
        <v>1102</v>
      </c>
      <c r="F611" s="28" t="s">
        <v>109</v>
      </c>
      <c r="G611" s="28" t="s">
        <v>149</v>
      </c>
      <c r="H611" s="28" t="s">
        <v>182</v>
      </c>
      <c r="I611" s="28" t="s">
        <v>172</v>
      </c>
      <c r="J611" s="28">
        <v>0.1</v>
      </c>
      <c r="K611" s="28"/>
      <c r="L611" s="28"/>
      <c r="M611" s="46"/>
    </row>
    <row r="612" ht="18.75" spans="2:13">
      <c r="B612" s="28">
        <f t="shared" si="11"/>
        <v>7420</v>
      </c>
      <c r="C612" s="28">
        <v>1</v>
      </c>
      <c r="D612" s="28" t="s">
        <v>1103</v>
      </c>
      <c r="E612" s="41" t="s">
        <v>1104</v>
      </c>
      <c r="F612" s="28" t="s">
        <v>109</v>
      </c>
      <c r="G612" s="28" t="s">
        <v>256</v>
      </c>
      <c r="H612" s="28" t="s">
        <v>182</v>
      </c>
      <c r="I612" s="28" t="s">
        <v>172</v>
      </c>
      <c r="J612" s="28">
        <v>0.1</v>
      </c>
      <c r="K612" s="28"/>
      <c r="L612" s="28"/>
      <c r="M612" s="46"/>
    </row>
    <row r="613" ht="37.5" spans="2:13">
      <c r="B613" s="28">
        <f t="shared" si="11"/>
        <v>7421</v>
      </c>
      <c r="C613" s="28">
        <v>1</v>
      </c>
      <c r="D613" s="28" t="s">
        <v>1105</v>
      </c>
      <c r="E613" s="41" t="s">
        <v>1106</v>
      </c>
      <c r="F613" s="28" t="s">
        <v>109</v>
      </c>
      <c r="G613" s="28" t="s">
        <v>1056</v>
      </c>
      <c r="H613" s="28" t="s">
        <v>182</v>
      </c>
      <c r="I613" s="28" t="s">
        <v>172</v>
      </c>
      <c r="J613" s="28">
        <v>0.1</v>
      </c>
      <c r="K613" s="28"/>
      <c r="L613" s="28"/>
      <c r="M613" s="46"/>
    </row>
    <row r="614" ht="18.75" spans="2:13">
      <c r="B614" s="28">
        <f t="shared" si="11"/>
        <v>7422</v>
      </c>
      <c r="C614" s="28">
        <v>1</v>
      </c>
      <c r="D614" s="28" t="s">
        <v>1107</v>
      </c>
      <c r="E614" s="41" t="s">
        <v>1108</v>
      </c>
      <c r="F614" s="28" t="s">
        <v>109</v>
      </c>
      <c r="G614" s="28" t="s">
        <v>1056</v>
      </c>
      <c r="H614" s="28" t="s">
        <v>182</v>
      </c>
      <c r="I614" s="28" t="s">
        <v>172</v>
      </c>
      <c r="J614" s="28">
        <v>0.1</v>
      </c>
      <c r="K614" s="28"/>
      <c r="L614" s="28"/>
      <c r="M614" s="46"/>
    </row>
    <row r="615" ht="18.75" spans="2:13">
      <c r="B615" s="28">
        <f t="shared" si="11"/>
        <v>7423</v>
      </c>
      <c r="C615" s="28">
        <v>2</v>
      </c>
      <c r="D615" s="28" t="s">
        <v>1109</v>
      </c>
      <c r="E615" s="41" t="s">
        <v>1110</v>
      </c>
      <c r="F615" s="28" t="s">
        <v>109</v>
      </c>
      <c r="G615" s="28" t="s">
        <v>263</v>
      </c>
      <c r="H615" s="28" t="s">
        <v>179</v>
      </c>
      <c r="I615" s="28" t="s">
        <v>179</v>
      </c>
      <c r="J615" s="28">
        <v>1</v>
      </c>
      <c r="K615" s="28"/>
      <c r="L615" s="28"/>
      <c r="M615" s="46"/>
    </row>
    <row r="616" ht="18.75" spans="2:13">
      <c r="B616" s="28">
        <f t="shared" si="11"/>
        <v>7425</v>
      </c>
      <c r="C616" s="28">
        <v>2</v>
      </c>
      <c r="D616" s="28" t="s">
        <v>1111</v>
      </c>
      <c r="E616" s="41" t="s">
        <v>1112</v>
      </c>
      <c r="F616" s="28" t="s">
        <v>109</v>
      </c>
      <c r="G616" s="28" t="s">
        <v>1113</v>
      </c>
      <c r="H616" s="28" t="s">
        <v>179</v>
      </c>
      <c r="I616" s="28" t="s">
        <v>179</v>
      </c>
      <c r="J616" s="28">
        <v>1</v>
      </c>
      <c r="K616" s="28"/>
      <c r="L616" s="28"/>
      <c r="M616" s="46"/>
    </row>
    <row r="617" ht="18.75" spans="2:13">
      <c r="B617" s="28">
        <f t="shared" si="11"/>
        <v>7427</v>
      </c>
      <c r="C617" s="28">
        <v>1</v>
      </c>
      <c r="D617" s="28" t="s">
        <v>1114</v>
      </c>
      <c r="E617" s="41" t="s">
        <v>1115</v>
      </c>
      <c r="F617" s="28" t="s">
        <v>109</v>
      </c>
      <c r="G617" s="28" t="s">
        <v>974</v>
      </c>
      <c r="H617" s="28" t="s">
        <v>182</v>
      </c>
      <c r="I617" s="28" t="s">
        <v>172</v>
      </c>
      <c r="J617" s="28">
        <v>0.1</v>
      </c>
      <c r="K617" s="28"/>
      <c r="L617" s="28"/>
      <c r="M617" s="46"/>
    </row>
    <row r="618" ht="18.75" spans="2:13">
      <c r="B618" s="28">
        <f t="shared" si="11"/>
        <v>7428</v>
      </c>
      <c r="C618" s="28">
        <v>1</v>
      </c>
      <c r="D618" s="28" t="s">
        <v>1116</v>
      </c>
      <c r="E618" s="41" t="s">
        <v>1117</v>
      </c>
      <c r="F618" s="28" t="s">
        <v>109</v>
      </c>
      <c r="G618" s="28" t="s">
        <v>974</v>
      </c>
      <c r="H618" s="28" t="s">
        <v>182</v>
      </c>
      <c r="I618" s="28" t="s">
        <v>172</v>
      </c>
      <c r="J618" s="28">
        <v>0.1</v>
      </c>
      <c r="K618" s="28"/>
      <c r="L618" s="28"/>
      <c r="M618" s="46"/>
    </row>
    <row r="619" ht="18.75" spans="2:13">
      <c r="B619" s="28">
        <f t="shared" si="11"/>
        <v>7429</v>
      </c>
      <c r="C619" s="28">
        <v>1</v>
      </c>
      <c r="D619" s="28" t="s">
        <v>1118</v>
      </c>
      <c r="E619" s="41" t="s">
        <v>1119</v>
      </c>
      <c r="F619" s="28" t="s">
        <v>109</v>
      </c>
      <c r="G619" s="28" t="s">
        <v>1056</v>
      </c>
      <c r="H619" s="28" t="s">
        <v>182</v>
      </c>
      <c r="I619" s="28" t="s">
        <v>172</v>
      </c>
      <c r="J619" s="28">
        <v>0.1</v>
      </c>
      <c r="K619" s="28"/>
      <c r="L619" s="28"/>
      <c r="M619" s="46"/>
    </row>
    <row r="620" ht="37.5" spans="2:13">
      <c r="B620" s="28">
        <f t="shared" si="11"/>
        <v>7430</v>
      </c>
      <c r="C620" s="28">
        <v>1</v>
      </c>
      <c r="D620" s="28" t="s">
        <v>1120</v>
      </c>
      <c r="E620" s="41" t="s">
        <v>1121</v>
      </c>
      <c r="F620" s="28" t="s">
        <v>109</v>
      </c>
      <c r="G620" s="28" t="s">
        <v>974</v>
      </c>
      <c r="H620" s="28" t="s">
        <v>182</v>
      </c>
      <c r="I620" s="28" t="s">
        <v>172</v>
      </c>
      <c r="J620" s="28">
        <v>0.1</v>
      </c>
      <c r="K620" s="28"/>
      <c r="L620" s="28"/>
      <c r="M620" s="46"/>
    </row>
    <row r="621" ht="18.75" spans="2:13">
      <c r="B621" s="28">
        <f t="shared" si="11"/>
        <v>7431</v>
      </c>
      <c r="C621" s="28">
        <v>1</v>
      </c>
      <c r="D621" s="28" t="s">
        <v>1122</v>
      </c>
      <c r="E621" s="41" t="s">
        <v>1123</v>
      </c>
      <c r="F621" s="28" t="s">
        <v>109</v>
      </c>
      <c r="G621" s="28" t="s">
        <v>1056</v>
      </c>
      <c r="H621" s="28" t="s">
        <v>182</v>
      </c>
      <c r="I621" s="28" t="s">
        <v>172</v>
      </c>
      <c r="J621" s="28">
        <v>0.1</v>
      </c>
      <c r="K621" s="28"/>
      <c r="L621" s="28"/>
      <c r="M621" s="46"/>
    </row>
    <row r="622" ht="18.75" spans="2:13">
      <c r="B622" s="28">
        <f t="shared" si="11"/>
        <v>7432</v>
      </c>
      <c r="C622" s="28">
        <v>1</v>
      </c>
      <c r="D622" s="28" t="s">
        <v>1124</v>
      </c>
      <c r="E622" s="41" t="s">
        <v>1125</v>
      </c>
      <c r="F622" s="28" t="s">
        <v>109</v>
      </c>
      <c r="G622" s="28" t="s">
        <v>256</v>
      </c>
      <c r="H622" s="28" t="s">
        <v>182</v>
      </c>
      <c r="I622" s="28" t="s">
        <v>468</v>
      </c>
      <c r="J622" s="28">
        <v>0.1</v>
      </c>
      <c r="K622" s="28"/>
      <c r="L622" s="28"/>
      <c r="M622" s="46"/>
    </row>
    <row r="623" ht="18.75" spans="2:13">
      <c r="B623" s="28">
        <f t="shared" si="11"/>
        <v>7433</v>
      </c>
      <c r="C623" s="28">
        <v>2</v>
      </c>
      <c r="D623" s="28" t="s">
        <v>778</v>
      </c>
      <c r="E623" s="41" t="s">
        <v>779</v>
      </c>
      <c r="F623" s="28" t="s">
        <v>109</v>
      </c>
      <c r="G623" s="28" t="s">
        <v>974</v>
      </c>
      <c r="H623" s="28" t="s">
        <v>450</v>
      </c>
      <c r="I623" s="28" t="s">
        <v>450</v>
      </c>
      <c r="J623" s="28">
        <v>1</v>
      </c>
      <c r="K623" s="28"/>
      <c r="L623" s="28"/>
      <c r="M623" s="46"/>
    </row>
    <row r="624" ht="37.5" spans="2:13">
      <c r="B624" s="28">
        <f t="shared" si="11"/>
        <v>7435</v>
      </c>
      <c r="C624" s="28">
        <v>1</v>
      </c>
      <c r="D624" s="28" t="s">
        <v>780</v>
      </c>
      <c r="E624" s="41" t="s">
        <v>781</v>
      </c>
      <c r="F624" s="28" t="s">
        <v>109</v>
      </c>
      <c r="G624" s="28" t="s">
        <v>974</v>
      </c>
      <c r="H624" s="28" t="s">
        <v>182</v>
      </c>
      <c r="I624" s="28" t="s">
        <v>468</v>
      </c>
      <c r="J624" s="28">
        <v>0.1</v>
      </c>
      <c r="K624" s="28"/>
      <c r="L624" s="28"/>
      <c r="M624" s="46"/>
    </row>
    <row r="625" ht="37.5" spans="2:13">
      <c r="B625" s="28">
        <f t="shared" si="11"/>
        <v>7436</v>
      </c>
      <c r="C625" s="28">
        <v>1</v>
      </c>
      <c r="D625" s="28" t="s">
        <v>784</v>
      </c>
      <c r="E625" s="41" t="s">
        <v>1126</v>
      </c>
      <c r="F625" s="28" t="s">
        <v>109</v>
      </c>
      <c r="G625" s="28" t="s">
        <v>974</v>
      </c>
      <c r="H625" s="28" t="s">
        <v>182</v>
      </c>
      <c r="I625" s="28" t="s">
        <v>468</v>
      </c>
      <c r="J625" s="28">
        <v>0.1</v>
      </c>
      <c r="K625" s="28"/>
      <c r="L625" s="28"/>
      <c r="M625" s="46"/>
    </row>
    <row r="626" ht="18.75" spans="2:13">
      <c r="B626" s="28">
        <f t="shared" si="11"/>
        <v>7437</v>
      </c>
      <c r="C626" s="28">
        <v>1</v>
      </c>
      <c r="D626" s="28" t="s">
        <v>1127</v>
      </c>
      <c r="E626" s="41" t="s">
        <v>1128</v>
      </c>
      <c r="F626" s="28" t="s">
        <v>109</v>
      </c>
      <c r="G626" s="28" t="s">
        <v>256</v>
      </c>
      <c r="H626" s="28" t="s">
        <v>182</v>
      </c>
      <c r="I626" s="28" t="s">
        <v>172</v>
      </c>
      <c r="J626" s="28">
        <v>0.1</v>
      </c>
      <c r="K626" s="28"/>
      <c r="L626" s="28"/>
      <c r="M626" s="46"/>
    </row>
    <row r="627" ht="18.75" spans="2:13">
      <c r="B627" s="28">
        <f t="shared" si="11"/>
        <v>7438</v>
      </c>
      <c r="C627" s="28">
        <v>1</v>
      </c>
      <c r="D627" s="28" t="s">
        <v>1129</v>
      </c>
      <c r="E627" s="41" t="s">
        <v>1130</v>
      </c>
      <c r="F627" s="28" t="s">
        <v>109</v>
      </c>
      <c r="G627" s="28" t="s">
        <v>256</v>
      </c>
      <c r="H627" s="28" t="s">
        <v>182</v>
      </c>
      <c r="I627" s="28" t="s">
        <v>172</v>
      </c>
      <c r="J627" s="28">
        <v>0.1</v>
      </c>
      <c r="K627" s="28"/>
      <c r="L627" s="28"/>
      <c r="M627" s="46"/>
    </row>
    <row r="628" ht="18.75" spans="2:13">
      <c r="B628" s="28">
        <f t="shared" si="11"/>
        <v>7439</v>
      </c>
      <c r="C628" s="28">
        <v>1</v>
      </c>
      <c r="D628" s="28" t="s">
        <v>1131</v>
      </c>
      <c r="E628" s="41" t="s">
        <v>1132</v>
      </c>
      <c r="F628" s="28" t="s">
        <v>109</v>
      </c>
      <c r="G628" s="28" t="s">
        <v>256</v>
      </c>
      <c r="H628" s="28" t="s">
        <v>182</v>
      </c>
      <c r="I628" s="28" t="s">
        <v>172</v>
      </c>
      <c r="J628" s="28">
        <v>0.1</v>
      </c>
      <c r="K628" s="28"/>
      <c r="L628" s="28"/>
      <c r="M628" s="46"/>
    </row>
    <row r="629" ht="18.75" spans="2:13">
      <c r="B629" s="28">
        <f t="shared" si="11"/>
        <v>7440</v>
      </c>
      <c r="C629" s="28">
        <v>1</v>
      </c>
      <c r="D629" s="28" t="s">
        <v>1133</v>
      </c>
      <c r="E629" s="41" t="s">
        <v>1134</v>
      </c>
      <c r="F629" s="28" t="s">
        <v>109</v>
      </c>
      <c r="G629" s="28" t="s">
        <v>256</v>
      </c>
      <c r="H629" s="28" t="s">
        <v>182</v>
      </c>
      <c r="I629" s="28" t="s">
        <v>172</v>
      </c>
      <c r="J629" s="28">
        <v>0.1</v>
      </c>
      <c r="K629" s="28"/>
      <c r="L629" s="28"/>
      <c r="M629" s="46"/>
    </row>
    <row r="630" ht="18.75" spans="2:13">
      <c r="B630" s="28">
        <f t="shared" si="11"/>
        <v>7441</v>
      </c>
      <c r="C630" s="28">
        <v>1</v>
      </c>
      <c r="D630" s="28" t="s">
        <v>1135</v>
      </c>
      <c r="E630" s="41" t="s">
        <v>1136</v>
      </c>
      <c r="F630" s="28" t="s">
        <v>109</v>
      </c>
      <c r="G630" s="28" t="s">
        <v>256</v>
      </c>
      <c r="H630" s="28" t="s">
        <v>182</v>
      </c>
      <c r="I630" s="28" t="s">
        <v>172</v>
      </c>
      <c r="J630" s="28">
        <v>0.1</v>
      </c>
      <c r="K630" s="28"/>
      <c r="L630" s="28"/>
      <c r="M630" s="46"/>
    </row>
    <row r="631" ht="18.75" spans="2:13">
      <c r="B631" s="28">
        <f t="shared" ref="B631:B694" si="12">B630+C630</f>
        <v>7442</v>
      </c>
      <c r="C631" s="28">
        <v>1</v>
      </c>
      <c r="D631" s="28" t="s">
        <v>1137</v>
      </c>
      <c r="E631" s="41" t="s">
        <v>1138</v>
      </c>
      <c r="F631" s="28" t="s">
        <v>109</v>
      </c>
      <c r="G631" s="28" t="s">
        <v>256</v>
      </c>
      <c r="H631" s="28" t="s">
        <v>182</v>
      </c>
      <c r="I631" s="28" t="s">
        <v>172</v>
      </c>
      <c r="J631" s="28">
        <v>0.1</v>
      </c>
      <c r="K631" s="28"/>
      <c r="L631" s="28"/>
      <c r="M631" s="46"/>
    </row>
    <row r="632" ht="18.75" spans="2:13">
      <c r="B632" s="28">
        <f t="shared" si="12"/>
        <v>7443</v>
      </c>
      <c r="C632" s="28">
        <v>1</v>
      </c>
      <c r="D632" s="28" t="s">
        <v>1139</v>
      </c>
      <c r="E632" s="41" t="s">
        <v>1140</v>
      </c>
      <c r="F632" s="28" t="s">
        <v>109</v>
      </c>
      <c r="G632" s="28" t="s">
        <v>319</v>
      </c>
      <c r="H632" s="28" t="s">
        <v>182</v>
      </c>
      <c r="I632" s="28" t="s">
        <v>172</v>
      </c>
      <c r="J632" s="28">
        <v>0.01</v>
      </c>
      <c r="K632" s="28"/>
      <c r="L632" s="28"/>
      <c r="M632" s="46"/>
    </row>
    <row r="633" ht="18.75" spans="2:13">
      <c r="B633" s="28">
        <f t="shared" si="12"/>
        <v>7444</v>
      </c>
      <c r="C633" s="28">
        <v>1</v>
      </c>
      <c r="D633" s="28" t="s">
        <v>1141</v>
      </c>
      <c r="E633" s="41" t="s">
        <v>1142</v>
      </c>
      <c r="F633" s="28" t="s">
        <v>109</v>
      </c>
      <c r="G633" s="28" t="s">
        <v>319</v>
      </c>
      <c r="H633" s="28" t="s">
        <v>182</v>
      </c>
      <c r="I633" s="28" t="s">
        <v>172</v>
      </c>
      <c r="J633" s="28">
        <v>0.01</v>
      </c>
      <c r="K633" s="28"/>
      <c r="L633" s="28"/>
      <c r="M633" s="46"/>
    </row>
    <row r="634" ht="18.75" spans="2:13">
      <c r="B634" s="28">
        <f t="shared" si="12"/>
        <v>7445</v>
      </c>
      <c r="C634" s="28">
        <v>1</v>
      </c>
      <c r="D634" s="28" t="s">
        <v>1143</v>
      </c>
      <c r="E634" s="41" t="s">
        <v>1144</v>
      </c>
      <c r="F634" s="28" t="s">
        <v>109</v>
      </c>
      <c r="G634" s="28" t="s">
        <v>319</v>
      </c>
      <c r="H634" s="28" t="s">
        <v>182</v>
      </c>
      <c r="I634" s="28" t="s">
        <v>172</v>
      </c>
      <c r="J634" s="28">
        <v>0.01</v>
      </c>
      <c r="K634" s="28"/>
      <c r="L634" s="28"/>
      <c r="M634" s="46"/>
    </row>
    <row r="635" ht="18.75" spans="2:13">
      <c r="B635" s="28">
        <f t="shared" si="12"/>
        <v>7446</v>
      </c>
      <c r="C635" s="28">
        <v>1</v>
      </c>
      <c r="D635" s="28" t="s">
        <v>1145</v>
      </c>
      <c r="E635" s="41" t="s">
        <v>1146</v>
      </c>
      <c r="F635" s="28" t="s">
        <v>109</v>
      </c>
      <c r="G635" s="28" t="s">
        <v>319</v>
      </c>
      <c r="H635" s="28" t="s">
        <v>182</v>
      </c>
      <c r="I635" s="28" t="s">
        <v>172</v>
      </c>
      <c r="J635" s="28">
        <v>0.01</v>
      </c>
      <c r="K635" s="28"/>
      <c r="L635" s="28"/>
      <c r="M635" s="46"/>
    </row>
    <row r="636" ht="18.75" spans="2:13">
      <c r="B636" s="28">
        <f t="shared" si="12"/>
        <v>7447</v>
      </c>
      <c r="C636" s="28">
        <v>1</v>
      </c>
      <c r="D636" s="28" t="s">
        <v>1147</v>
      </c>
      <c r="E636" s="41" t="s">
        <v>1148</v>
      </c>
      <c r="F636" s="28" t="s">
        <v>109</v>
      </c>
      <c r="G636" s="28" t="s">
        <v>319</v>
      </c>
      <c r="H636" s="28" t="s">
        <v>182</v>
      </c>
      <c r="I636" s="28" t="s">
        <v>172</v>
      </c>
      <c r="J636" s="28">
        <v>0.01</v>
      </c>
      <c r="K636" s="28"/>
      <c r="L636" s="28"/>
      <c r="M636" s="46"/>
    </row>
    <row r="637" ht="18.75" spans="2:13">
      <c r="B637" s="28">
        <f t="shared" si="12"/>
        <v>7448</v>
      </c>
      <c r="C637" s="28">
        <v>1</v>
      </c>
      <c r="D637" s="28" t="s">
        <v>1149</v>
      </c>
      <c r="E637" s="41" t="s">
        <v>1150</v>
      </c>
      <c r="F637" s="28" t="s">
        <v>109</v>
      </c>
      <c r="G637" s="28" t="s">
        <v>319</v>
      </c>
      <c r="H637" s="28" t="s">
        <v>182</v>
      </c>
      <c r="I637" s="28" t="s">
        <v>172</v>
      </c>
      <c r="J637" s="28">
        <v>0.01</v>
      </c>
      <c r="K637" s="28"/>
      <c r="L637" s="28"/>
      <c r="M637" s="46"/>
    </row>
    <row r="638" ht="18.75" spans="2:13">
      <c r="B638" s="28">
        <f t="shared" si="12"/>
        <v>7449</v>
      </c>
      <c r="C638" s="28">
        <v>1</v>
      </c>
      <c r="D638" s="28" t="s">
        <v>1151</v>
      </c>
      <c r="E638" s="41" t="s">
        <v>1152</v>
      </c>
      <c r="F638" s="28" t="s">
        <v>109</v>
      </c>
      <c r="G638" s="28" t="s">
        <v>1153</v>
      </c>
      <c r="H638" s="28" t="s">
        <v>182</v>
      </c>
      <c r="I638" s="28" t="s">
        <v>172</v>
      </c>
      <c r="J638" s="28">
        <v>0.01</v>
      </c>
      <c r="K638" s="28"/>
      <c r="L638" s="28"/>
      <c r="M638" s="46"/>
    </row>
    <row r="639" ht="18.75" spans="2:13">
      <c r="B639" s="28">
        <f t="shared" si="12"/>
        <v>7450</v>
      </c>
      <c r="C639" s="28">
        <v>1</v>
      </c>
      <c r="D639" s="28" t="s">
        <v>1154</v>
      </c>
      <c r="E639" s="41" t="s">
        <v>1155</v>
      </c>
      <c r="F639" s="28" t="s">
        <v>109</v>
      </c>
      <c r="G639" s="28" t="s">
        <v>1153</v>
      </c>
      <c r="H639" s="28" t="s">
        <v>182</v>
      </c>
      <c r="I639" s="28" t="s">
        <v>172</v>
      </c>
      <c r="J639" s="28">
        <v>0.01</v>
      </c>
      <c r="K639" s="28"/>
      <c r="L639" s="28"/>
      <c r="M639" s="46"/>
    </row>
    <row r="640" ht="18.75" spans="2:13">
      <c r="B640" s="28">
        <f t="shared" si="12"/>
        <v>7451</v>
      </c>
      <c r="C640" s="28">
        <v>1</v>
      </c>
      <c r="D640" s="28" t="s">
        <v>1156</v>
      </c>
      <c r="E640" s="41" t="s">
        <v>1157</v>
      </c>
      <c r="F640" s="28" t="s">
        <v>109</v>
      </c>
      <c r="G640" s="28" t="s">
        <v>1153</v>
      </c>
      <c r="H640" s="28" t="s">
        <v>182</v>
      </c>
      <c r="I640" s="28" t="s">
        <v>172</v>
      </c>
      <c r="J640" s="28">
        <v>0.01</v>
      </c>
      <c r="K640" s="28"/>
      <c r="L640" s="28"/>
      <c r="M640" s="46"/>
    </row>
    <row r="641" ht="18.75" spans="2:13">
      <c r="B641" s="28">
        <f t="shared" si="12"/>
        <v>7452</v>
      </c>
      <c r="C641" s="28">
        <v>1</v>
      </c>
      <c r="D641" s="28" t="s">
        <v>1158</v>
      </c>
      <c r="E641" s="41" t="s">
        <v>1159</v>
      </c>
      <c r="F641" s="28" t="s">
        <v>109</v>
      </c>
      <c r="G641" s="28" t="s">
        <v>1153</v>
      </c>
      <c r="H641" s="28" t="s">
        <v>182</v>
      </c>
      <c r="I641" s="28" t="s">
        <v>172</v>
      </c>
      <c r="J641" s="28">
        <v>0.01</v>
      </c>
      <c r="K641" s="28"/>
      <c r="L641" s="28"/>
      <c r="M641" s="46"/>
    </row>
    <row r="642" ht="18.75" spans="2:13">
      <c r="B642" s="28">
        <f t="shared" si="12"/>
        <v>7453</v>
      </c>
      <c r="C642" s="28">
        <v>1</v>
      </c>
      <c r="D642" s="28" t="s">
        <v>1160</v>
      </c>
      <c r="E642" s="41" t="s">
        <v>1161</v>
      </c>
      <c r="F642" s="28" t="s">
        <v>109</v>
      </c>
      <c r="G642" s="28" t="s">
        <v>1153</v>
      </c>
      <c r="H642" s="28" t="s">
        <v>182</v>
      </c>
      <c r="I642" s="28" t="s">
        <v>172</v>
      </c>
      <c r="J642" s="28">
        <v>0.01</v>
      </c>
      <c r="K642" s="28"/>
      <c r="L642" s="28"/>
      <c r="M642" s="46"/>
    </row>
    <row r="643" ht="18.75" spans="2:13">
      <c r="B643" s="28">
        <f t="shared" si="12"/>
        <v>7454</v>
      </c>
      <c r="C643" s="28">
        <v>1</v>
      </c>
      <c r="D643" s="28" t="s">
        <v>1162</v>
      </c>
      <c r="E643" s="41" t="s">
        <v>1163</v>
      </c>
      <c r="F643" s="28" t="s">
        <v>109</v>
      </c>
      <c r="G643" s="28" t="s">
        <v>1153</v>
      </c>
      <c r="H643" s="28" t="s">
        <v>182</v>
      </c>
      <c r="I643" s="28" t="s">
        <v>172</v>
      </c>
      <c r="J643" s="28">
        <v>0.01</v>
      </c>
      <c r="K643" s="28"/>
      <c r="L643" s="28"/>
      <c r="M643" s="46"/>
    </row>
    <row r="644" ht="18.75" spans="2:13">
      <c r="B644" s="28">
        <f t="shared" si="12"/>
        <v>7455</v>
      </c>
      <c r="C644" s="28">
        <v>1</v>
      </c>
      <c r="D644" s="28" t="s">
        <v>1164</v>
      </c>
      <c r="E644" s="41" t="s">
        <v>1165</v>
      </c>
      <c r="F644" s="28" t="s">
        <v>109</v>
      </c>
      <c r="G644" s="28" t="s">
        <v>1153</v>
      </c>
      <c r="H644" s="28" t="s">
        <v>182</v>
      </c>
      <c r="I644" s="28" t="s">
        <v>172</v>
      </c>
      <c r="J644" s="28">
        <v>0.01</v>
      </c>
      <c r="K644" s="28"/>
      <c r="L644" s="28"/>
      <c r="M644" s="46"/>
    </row>
    <row r="645" ht="18.75" spans="2:13">
      <c r="B645" s="28">
        <f t="shared" si="12"/>
        <v>7456</v>
      </c>
      <c r="C645" s="28">
        <v>1</v>
      </c>
      <c r="D645" s="28" t="s">
        <v>1166</v>
      </c>
      <c r="E645" s="41" t="s">
        <v>1167</v>
      </c>
      <c r="F645" s="28" t="s">
        <v>109</v>
      </c>
      <c r="G645" s="28" t="s">
        <v>1153</v>
      </c>
      <c r="H645" s="28" t="s">
        <v>182</v>
      </c>
      <c r="I645" s="28" t="s">
        <v>172</v>
      </c>
      <c r="J645" s="28">
        <v>0.01</v>
      </c>
      <c r="K645" s="28"/>
      <c r="L645" s="28"/>
      <c r="M645" s="46"/>
    </row>
    <row r="646" ht="18.75" spans="2:13">
      <c r="B646" s="28">
        <f t="shared" si="12"/>
        <v>7457</v>
      </c>
      <c r="C646" s="28">
        <v>1</v>
      </c>
      <c r="D646" s="28" t="s">
        <v>1168</v>
      </c>
      <c r="E646" s="41" t="s">
        <v>1169</v>
      </c>
      <c r="F646" s="28" t="s">
        <v>109</v>
      </c>
      <c r="G646" s="28" t="s">
        <v>256</v>
      </c>
      <c r="H646" s="28" t="s">
        <v>182</v>
      </c>
      <c r="I646" s="28" t="s">
        <v>468</v>
      </c>
      <c r="J646" s="28">
        <v>0.1</v>
      </c>
      <c r="K646" s="28"/>
      <c r="L646" s="28"/>
      <c r="M646" s="46"/>
    </row>
    <row r="647" ht="18.75" spans="2:13">
      <c r="B647" s="28">
        <f t="shared" si="12"/>
        <v>7458</v>
      </c>
      <c r="C647" s="28">
        <v>1</v>
      </c>
      <c r="D647" s="28" t="s">
        <v>1170</v>
      </c>
      <c r="E647" s="41" t="s">
        <v>1171</v>
      </c>
      <c r="F647" s="28" t="s">
        <v>109</v>
      </c>
      <c r="G647" s="28" t="s">
        <v>256</v>
      </c>
      <c r="H647" s="28" t="s">
        <v>182</v>
      </c>
      <c r="I647" s="28" t="s">
        <v>468</v>
      </c>
      <c r="J647" s="28">
        <v>0.1</v>
      </c>
      <c r="K647" s="28"/>
      <c r="L647" s="28"/>
      <c r="M647" s="46"/>
    </row>
    <row r="648" ht="18.75" spans="2:13">
      <c r="B648" s="28">
        <f t="shared" si="12"/>
        <v>7459</v>
      </c>
      <c r="C648" s="28">
        <v>1</v>
      </c>
      <c r="D648" s="28" t="s">
        <v>1172</v>
      </c>
      <c r="E648" s="41" t="s">
        <v>1173</v>
      </c>
      <c r="F648" s="28" t="s">
        <v>109</v>
      </c>
      <c r="G648" s="28" t="s">
        <v>319</v>
      </c>
      <c r="H648" s="28" t="s">
        <v>182</v>
      </c>
      <c r="I648" s="28" t="s">
        <v>468</v>
      </c>
      <c r="J648" s="28">
        <v>0.01</v>
      </c>
      <c r="K648" s="28"/>
      <c r="L648" s="28"/>
      <c r="M648" s="46"/>
    </row>
    <row r="649" ht="18.75" spans="2:13">
      <c r="B649" s="28">
        <f t="shared" si="12"/>
        <v>7460</v>
      </c>
      <c r="C649" s="28">
        <v>1</v>
      </c>
      <c r="D649" s="28" t="s">
        <v>1174</v>
      </c>
      <c r="E649" s="41" t="s">
        <v>1175</v>
      </c>
      <c r="F649" s="28" t="s">
        <v>109</v>
      </c>
      <c r="G649" s="28" t="s">
        <v>319</v>
      </c>
      <c r="H649" s="28" t="s">
        <v>182</v>
      </c>
      <c r="I649" s="28" t="s">
        <v>468</v>
      </c>
      <c r="J649" s="28">
        <v>0.01</v>
      </c>
      <c r="K649" s="28"/>
      <c r="L649" s="28"/>
      <c r="M649" s="46"/>
    </row>
    <row r="650" ht="18.75" spans="2:13">
      <c r="B650" s="28">
        <f t="shared" si="12"/>
        <v>7461</v>
      </c>
      <c r="C650" s="28">
        <v>1</v>
      </c>
      <c r="D650" s="28" t="s">
        <v>1176</v>
      </c>
      <c r="E650" s="41" t="s">
        <v>1177</v>
      </c>
      <c r="F650" s="28" t="s">
        <v>109</v>
      </c>
      <c r="G650" s="28" t="s">
        <v>256</v>
      </c>
      <c r="H650" s="28" t="s">
        <v>182</v>
      </c>
      <c r="I650" s="28" t="s">
        <v>468</v>
      </c>
      <c r="J650" s="28">
        <v>0.1</v>
      </c>
      <c r="K650" s="28"/>
      <c r="L650" s="28"/>
      <c r="M650" s="46"/>
    </row>
    <row r="651" ht="18.75" spans="2:13">
      <c r="B651" s="28">
        <f t="shared" si="12"/>
        <v>7462</v>
      </c>
      <c r="C651" s="28">
        <v>1</v>
      </c>
      <c r="D651" s="28" t="s">
        <v>1178</v>
      </c>
      <c r="E651" s="41" t="s">
        <v>1179</v>
      </c>
      <c r="F651" s="28" t="s">
        <v>109</v>
      </c>
      <c r="G651" s="28" t="s">
        <v>256</v>
      </c>
      <c r="H651" s="28" t="s">
        <v>182</v>
      </c>
      <c r="I651" s="28" t="s">
        <v>468</v>
      </c>
      <c r="J651" s="28">
        <v>0.1</v>
      </c>
      <c r="K651" s="28"/>
      <c r="L651" s="28"/>
      <c r="M651" s="46"/>
    </row>
    <row r="652" ht="18.75" spans="2:13">
      <c r="B652" s="28">
        <f t="shared" si="12"/>
        <v>7463</v>
      </c>
      <c r="C652" s="28">
        <v>1</v>
      </c>
      <c r="D652" s="28" t="s">
        <v>1180</v>
      </c>
      <c r="E652" s="41" t="s">
        <v>1181</v>
      </c>
      <c r="F652" s="28" t="s">
        <v>109</v>
      </c>
      <c r="G652" s="28" t="s">
        <v>319</v>
      </c>
      <c r="H652" s="28" t="s">
        <v>182</v>
      </c>
      <c r="I652" s="28" t="s">
        <v>468</v>
      </c>
      <c r="J652" s="28">
        <v>0.01</v>
      </c>
      <c r="K652" s="28"/>
      <c r="L652" s="28"/>
      <c r="M652" s="46"/>
    </row>
    <row r="653" ht="18.75" spans="2:13">
      <c r="B653" s="28">
        <f t="shared" si="12"/>
        <v>7464</v>
      </c>
      <c r="C653" s="28">
        <v>1</v>
      </c>
      <c r="D653" s="28" t="s">
        <v>1182</v>
      </c>
      <c r="E653" s="41" t="s">
        <v>1183</v>
      </c>
      <c r="F653" s="28" t="s">
        <v>109</v>
      </c>
      <c r="G653" s="28" t="s">
        <v>319</v>
      </c>
      <c r="H653" s="28" t="s">
        <v>182</v>
      </c>
      <c r="I653" s="28" t="s">
        <v>468</v>
      </c>
      <c r="J653" s="28">
        <v>0.01</v>
      </c>
      <c r="K653" s="28"/>
      <c r="L653" s="28"/>
      <c r="M653" s="46"/>
    </row>
    <row r="654" ht="18.75" spans="2:13">
      <c r="B654" s="28">
        <f t="shared" si="12"/>
        <v>7465</v>
      </c>
      <c r="C654" s="28">
        <v>1</v>
      </c>
      <c r="D654" s="28" t="s">
        <v>1184</v>
      </c>
      <c r="E654" s="41" t="s">
        <v>1185</v>
      </c>
      <c r="F654" s="28" t="s">
        <v>109</v>
      </c>
      <c r="G654" s="28"/>
      <c r="H654" s="28" t="s">
        <v>172</v>
      </c>
      <c r="I654" s="28" t="s">
        <v>172</v>
      </c>
      <c r="J654" s="28">
        <v>1</v>
      </c>
      <c r="K654" s="28"/>
      <c r="L654" s="28"/>
      <c r="M654" s="46"/>
    </row>
    <row r="655" ht="18.75" spans="2:13">
      <c r="B655" s="28">
        <f t="shared" si="12"/>
        <v>7466</v>
      </c>
      <c r="C655" s="28">
        <v>1</v>
      </c>
      <c r="D655" s="28" t="s">
        <v>1186</v>
      </c>
      <c r="E655" s="41" t="s">
        <v>1187</v>
      </c>
      <c r="F655" s="28" t="s">
        <v>109</v>
      </c>
      <c r="G655" s="28" t="s">
        <v>256</v>
      </c>
      <c r="H655" s="28" t="s">
        <v>182</v>
      </c>
      <c r="I655" s="28" t="s">
        <v>468</v>
      </c>
      <c r="J655" s="28">
        <v>0.1</v>
      </c>
      <c r="K655" s="28"/>
      <c r="L655" s="28"/>
      <c r="M655" s="46"/>
    </row>
    <row r="656" ht="18.75" spans="2:13">
      <c r="B656" s="28">
        <f t="shared" si="12"/>
        <v>7467</v>
      </c>
      <c r="C656" s="28">
        <v>1</v>
      </c>
      <c r="D656" s="28" t="s">
        <v>1188</v>
      </c>
      <c r="E656" s="41" t="s">
        <v>1189</v>
      </c>
      <c r="F656" s="28" t="s">
        <v>109</v>
      </c>
      <c r="G656" s="28" t="s">
        <v>263</v>
      </c>
      <c r="H656" s="28" t="s">
        <v>182</v>
      </c>
      <c r="I656" s="28" t="s">
        <v>468</v>
      </c>
      <c r="J656" s="28">
        <v>-0.1</v>
      </c>
      <c r="K656" s="28"/>
      <c r="L656" s="28"/>
      <c r="M656" s="46"/>
    </row>
    <row r="657" s="34" customFormat="1" ht="18.75" spans="2:14">
      <c r="B657" s="44">
        <f t="shared" si="12"/>
        <v>7468</v>
      </c>
      <c r="C657" s="44">
        <v>1</v>
      </c>
      <c r="D657" s="44" t="s">
        <v>1190</v>
      </c>
      <c r="E657" s="48" t="s">
        <v>1191</v>
      </c>
      <c r="F657" s="44" t="s">
        <v>109</v>
      </c>
      <c r="H657" s="44" t="s">
        <v>468</v>
      </c>
      <c r="I657" s="44" t="s">
        <v>468</v>
      </c>
      <c r="J657" s="44">
        <v>1</v>
      </c>
      <c r="L657" s="44" t="s">
        <v>1192</v>
      </c>
      <c r="M657" s="47"/>
      <c r="N657" s="34" t="s">
        <v>1193</v>
      </c>
    </row>
    <row r="658" ht="18.75" spans="2:14">
      <c r="B658" s="28">
        <f t="shared" si="12"/>
        <v>7469</v>
      </c>
      <c r="C658" s="28">
        <v>1</v>
      </c>
      <c r="D658" s="28" t="s">
        <v>1194</v>
      </c>
      <c r="E658" s="41" t="s">
        <v>1195</v>
      </c>
      <c r="F658" s="28" t="s">
        <v>109</v>
      </c>
      <c r="G658" s="28"/>
      <c r="H658" s="28" t="s">
        <v>468</v>
      </c>
      <c r="I658" s="28" t="s">
        <v>468</v>
      </c>
      <c r="J658" s="28">
        <v>1</v>
      </c>
      <c r="K658" s="28"/>
      <c r="L658" s="28"/>
      <c r="M658" s="46"/>
    </row>
    <row r="659" ht="18.75" spans="2:14">
      <c r="B659" s="28">
        <f t="shared" si="12"/>
        <v>7470</v>
      </c>
      <c r="C659" s="28">
        <v>1</v>
      </c>
      <c r="D659" s="28" t="s">
        <v>1196</v>
      </c>
      <c r="E659" s="41" t="s">
        <v>1197</v>
      </c>
      <c r="F659" s="28" t="s">
        <v>109</v>
      </c>
      <c r="G659" s="28" t="s">
        <v>974</v>
      </c>
      <c r="H659" s="28" t="s">
        <v>182</v>
      </c>
      <c r="I659" s="28" t="s">
        <v>468</v>
      </c>
      <c r="J659" s="28">
        <v>-0.1</v>
      </c>
      <c r="K659" s="28"/>
      <c r="L659" s="28"/>
      <c r="M659" s="46"/>
    </row>
    <row r="660" ht="18.75" spans="2:14">
      <c r="B660" s="28">
        <f t="shared" si="12"/>
        <v>7471</v>
      </c>
      <c r="C660" s="28">
        <v>1</v>
      </c>
      <c r="D660" s="28" t="s">
        <v>1198</v>
      </c>
      <c r="E660" s="41" t="s">
        <v>1199</v>
      </c>
      <c r="F660" s="28" t="s">
        <v>109</v>
      </c>
      <c r="G660" s="28" t="s">
        <v>256</v>
      </c>
      <c r="H660" s="28" t="s">
        <v>182</v>
      </c>
      <c r="I660" s="28" t="s">
        <v>468</v>
      </c>
      <c r="J660" s="28">
        <v>0.1</v>
      </c>
      <c r="K660" s="28"/>
      <c r="L660" s="28"/>
      <c r="M660" s="46"/>
    </row>
    <row r="661" ht="18.75" spans="2:14">
      <c r="B661" s="28">
        <f t="shared" si="12"/>
        <v>7472</v>
      </c>
      <c r="C661" s="28">
        <v>1</v>
      </c>
      <c r="D661" s="28" t="s">
        <v>1200</v>
      </c>
      <c r="E661" s="41" t="s">
        <v>1201</v>
      </c>
      <c r="F661" s="28" t="s">
        <v>109</v>
      </c>
      <c r="G661" s="28" t="s">
        <v>256</v>
      </c>
      <c r="H661" s="28" t="s">
        <v>182</v>
      </c>
      <c r="I661" s="28" t="s">
        <v>468</v>
      </c>
      <c r="J661" s="28">
        <v>0.1</v>
      </c>
      <c r="K661" s="28"/>
      <c r="L661" s="28"/>
      <c r="M661" s="46"/>
    </row>
    <row r="662" ht="18.75" spans="2:14">
      <c r="B662" s="28">
        <f t="shared" si="12"/>
        <v>7473</v>
      </c>
      <c r="C662" s="28">
        <v>1</v>
      </c>
      <c r="D662" s="28" t="s">
        <v>1202</v>
      </c>
      <c r="E662" s="41" t="s">
        <v>1203</v>
      </c>
      <c r="F662" s="28" t="s">
        <v>109</v>
      </c>
      <c r="G662" s="28" t="s">
        <v>256</v>
      </c>
      <c r="H662" s="28" t="s">
        <v>182</v>
      </c>
      <c r="I662" s="28" t="s">
        <v>468</v>
      </c>
      <c r="J662" s="28">
        <v>0.1</v>
      </c>
      <c r="K662" s="28"/>
      <c r="L662" s="28"/>
      <c r="M662" s="46"/>
    </row>
    <row r="663" ht="18.75" spans="2:14">
      <c r="B663" s="28">
        <f t="shared" si="12"/>
        <v>7474</v>
      </c>
      <c r="C663" s="28">
        <v>1</v>
      </c>
      <c r="D663" s="28" t="s">
        <v>1204</v>
      </c>
      <c r="E663" s="41" t="s">
        <v>1205</v>
      </c>
      <c r="F663" s="28" t="s">
        <v>109</v>
      </c>
      <c r="G663" s="28" t="s">
        <v>256</v>
      </c>
      <c r="H663" s="28" t="s">
        <v>182</v>
      </c>
      <c r="I663" s="28" t="s">
        <v>468</v>
      </c>
      <c r="J663" s="28">
        <v>0.1</v>
      </c>
      <c r="K663" s="28"/>
      <c r="L663" s="28"/>
      <c r="M663" s="46"/>
    </row>
    <row r="664" ht="18.75" spans="2:14">
      <c r="B664" s="28">
        <f t="shared" si="12"/>
        <v>7475</v>
      </c>
      <c r="C664" s="28">
        <v>1</v>
      </c>
      <c r="D664" s="28" t="s">
        <v>1206</v>
      </c>
      <c r="E664" s="41" t="s">
        <v>1207</v>
      </c>
      <c r="F664" s="28" t="s">
        <v>109</v>
      </c>
      <c r="G664" s="28" t="s">
        <v>256</v>
      </c>
      <c r="H664" s="28" t="s">
        <v>182</v>
      </c>
      <c r="I664" s="28" t="s">
        <v>468</v>
      </c>
      <c r="J664" s="28">
        <v>0.1</v>
      </c>
      <c r="K664" s="28"/>
      <c r="L664" s="28"/>
      <c r="M664" s="46"/>
    </row>
    <row r="665" ht="18.75" spans="2:14">
      <c r="B665" s="28">
        <f t="shared" si="12"/>
        <v>7476</v>
      </c>
      <c r="C665" s="28">
        <v>1</v>
      </c>
      <c r="D665" s="28" t="s">
        <v>1208</v>
      </c>
      <c r="E665" s="41" t="s">
        <v>1209</v>
      </c>
      <c r="F665" s="28" t="s">
        <v>109</v>
      </c>
      <c r="G665" s="28" t="s">
        <v>256</v>
      </c>
      <c r="H665" s="28" t="s">
        <v>182</v>
      </c>
      <c r="I665" s="28" t="s">
        <v>468</v>
      </c>
      <c r="J665" s="28">
        <v>0.1</v>
      </c>
      <c r="K665" s="28"/>
      <c r="L665" s="28"/>
      <c r="M665" s="46"/>
    </row>
    <row r="666" ht="18.75" spans="2:14">
      <c r="B666" s="28">
        <f t="shared" si="12"/>
        <v>7477</v>
      </c>
      <c r="C666" s="28">
        <v>2</v>
      </c>
      <c r="D666" s="28" t="s">
        <v>1210</v>
      </c>
      <c r="E666" s="41" t="s">
        <v>1211</v>
      </c>
      <c r="F666" s="28" t="s">
        <v>109</v>
      </c>
      <c r="G666" s="28"/>
      <c r="H666" s="28" t="s">
        <v>179</v>
      </c>
      <c r="I666" s="28" t="s">
        <v>179</v>
      </c>
      <c r="J666" s="28">
        <v>1</v>
      </c>
      <c r="K666" s="28"/>
      <c r="L666" s="28"/>
      <c r="M666" s="46"/>
    </row>
    <row r="667" ht="18.75" spans="2:14">
      <c r="B667" s="28">
        <f t="shared" si="12"/>
        <v>7479</v>
      </c>
      <c r="C667" s="28">
        <v>2</v>
      </c>
      <c r="D667" s="28" t="s">
        <v>1212</v>
      </c>
      <c r="E667" s="41" t="s">
        <v>1213</v>
      </c>
      <c r="F667" s="28" t="s">
        <v>109</v>
      </c>
      <c r="G667" s="28"/>
      <c r="H667" s="28" t="s">
        <v>179</v>
      </c>
      <c r="I667" s="28" t="s">
        <v>179</v>
      </c>
      <c r="J667" s="28">
        <v>1</v>
      </c>
      <c r="K667" s="28"/>
      <c r="L667" s="28"/>
      <c r="M667" s="46"/>
    </row>
    <row r="668" ht="18.75" spans="2:14">
      <c r="B668" s="28">
        <f t="shared" si="12"/>
        <v>7481</v>
      </c>
      <c r="C668" s="28">
        <v>2</v>
      </c>
      <c r="D668" s="28" t="s">
        <v>1214</v>
      </c>
      <c r="E668" s="41" t="s">
        <v>1215</v>
      </c>
      <c r="F668" s="28" t="s">
        <v>109</v>
      </c>
      <c r="G668" s="28"/>
      <c r="H668" s="28" t="s">
        <v>179</v>
      </c>
      <c r="I668" s="28" t="s">
        <v>179</v>
      </c>
      <c r="J668" s="28">
        <v>1</v>
      </c>
      <c r="K668" s="28"/>
      <c r="L668" s="28"/>
      <c r="M668" s="46"/>
    </row>
    <row r="669" ht="18.75" spans="2:14">
      <c r="B669" s="28">
        <f t="shared" si="12"/>
        <v>7483</v>
      </c>
      <c r="C669" s="28">
        <v>1</v>
      </c>
      <c r="D669" s="28" t="s">
        <v>1216</v>
      </c>
      <c r="E669" s="41" t="s">
        <v>1217</v>
      </c>
      <c r="F669" s="28" t="s">
        <v>109</v>
      </c>
      <c r="G669" s="28" t="s">
        <v>263</v>
      </c>
      <c r="H669" s="28" t="s">
        <v>182</v>
      </c>
      <c r="I669" s="28" t="s">
        <v>468</v>
      </c>
      <c r="J669" s="28">
        <v>0.1</v>
      </c>
      <c r="K669" s="28"/>
      <c r="L669" s="28"/>
      <c r="M669" s="46"/>
    </row>
    <row r="670" ht="18.75" spans="2:14">
      <c r="B670" s="28">
        <f t="shared" si="12"/>
        <v>7484</v>
      </c>
      <c r="C670" s="28">
        <v>1</v>
      </c>
      <c r="D670" s="28" t="s">
        <v>1218</v>
      </c>
      <c r="E670" s="41" t="s">
        <v>1219</v>
      </c>
      <c r="F670" s="28" t="s">
        <v>109</v>
      </c>
      <c r="G670" s="28" t="s">
        <v>263</v>
      </c>
      <c r="H670" s="28" t="s">
        <v>182</v>
      </c>
      <c r="I670" s="28" t="s">
        <v>468</v>
      </c>
      <c r="J670" s="28">
        <v>0.1</v>
      </c>
      <c r="K670" s="28"/>
      <c r="L670" s="28"/>
      <c r="M670" s="46"/>
    </row>
    <row r="671" ht="18.75" spans="2:14">
      <c r="B671" s="28">
        <f t="shared" si="12"/>
        <v>7485</v>
      </c>
      <c r="C671" s="28">
        <v>1</v>
      </c>
      <c r="D671" s="28" t="s">
        <v>1220</v>
      </c>
      <c r="E671" s="41" t="s">
        <v>1221</v>
      </c>
      <c r="F671" s="28" t="s">
        <v>109</v>
      </c>
      <c r="G671" s="28" t="s">
        <v>263</v>
      </c>
      <c r="H671" s="28" t="s">
        <v>182</v>
      </c>
      <c r="I671" s="28" t="s">
        <v>468</v>
      </c>
      <c r="J671" s="28">
        <v>0.1</v>
      </c>
      <c r="K671" s="28"/>
      <c r="L671" s="28"/>
      <c r="M671" s="46"/>
    </row>
    <row r="672" ht="18.75" spans="2:14">
      <c r="B672" s="28">
        <f t="shared" si="12"/>
        <v>7486</v>
      </c>
      <c r="C672" s="28">
        <v>1</v>
      </c>
      <c r="D672" s="28" t="s">
        <v>1222</v>
      </c>
      <c r="E672" s="41" t="s">
        <v>485</v>
      </c>
      <c r="F672" s="28" t="s">
        <v>109</v>
      </c>
      <c r="G672" s="28" t="s">
        <v>319</v>
      </c>
      <c r="H672" s="28" t="s">
        <v>182</v>
      </c>
      <c r="I672" s="28" t="s">
        <v>468</v>
      </c>
      <c r="J672" s="28">
        <v>0.01</v>
      </c>
      <c r="K672" s="28"/>
      <c r="L672" s="28"/>
      <c r="M672" s="46"/>
    </row>
    <row r="673" ht="18.75" spans="2:14">
      <c r="B673" s="28">
        <f t="shared" si="12"/>
        <v>7487</v>
      </c>
      <c r="C673" s="28">
        <v>1</v>
      </c>
      <c r="D673" s="28" t="s">
        <v>1223</v>
      </c>
      <c r="E673" s="41" t="s">
        <v>1224</v>
      </c>
      <c r="F673" s="28" t="s">
        <v>109</v>
      </c>
      <c r="G673" s="28"/>
      <c r="H673" s="28" t="s">
        <v>182</v>
      </c>
      <c r="I673" s="28" t="s">
        <v>468</v>
      </c>
      <c r="J673" s="28">
        <v>0.001</v>
      </c>
      <c r="K673" s="28"/>
      <c r="L673" s="28"/>
      <c r="M673" s="46"/>
    </row>
    <row r="674" s="34" customFormat="1" ht="37.5" spans="2:14">
      <c r="B674" s="44">
        <f t="shared" si="12"/>
        <v>7488</v>
      </c>
      <c r="C674" s="44">
        <v>1</v>
      </c>
      <c r="D674" s="44" t="s">
        <v>1225</v>
      </c>
      <c r="E674" s="48" t="s">
        <v>1226</v>
      </c>
      <c r="F674" s="44" t="s">
        <v>109</v>
      </c>
      <c r="G674" s="44"/>
      <c r="H674" s="44" t="s">
        <v>468</v>
      </c>
      <c r="I674" s="44" t="s">
        <v>468</v>
      </c>
      <c r="J674" s="44">
        <v>1</v>
      </c>
      <c r="K674" s="44"/>
      <c r="L674" s="44"/>
      <c r="M674" s="47"/>
      <c r="N674" s="34" t="s">
        <v>1193</v>
      </c>
    </row>
    <row r="675" s="34" customFormat="1" ht="37.5" spans="2:14">
      <c r="B675" s="44">
        <f t="shared" si="12"/>
        <v>7489</v>
      </c>
      <c r="C675" s="44">
        <v>1</v>
      </c>
      <c r="D675" s="44" t="s">
        <v>1227</v>
      </c>
      <c r="E675" s="48" t="s">
        <v>1228</v>
      </c>
      <c r="F675" s="44" t="s">
        <v>109</v>
      </c>
      <c r="G675" s="44"/>
      <c r="H675" s="44" t="s">
        <v>468</v>
      </c>
      <c r="I675" s="44" t="s">
        <v>468</v>
      </c>
      <c r="J675" s="44">
        <v>1</v>
      </c>
      <c r="K675" s="44"/>
      <c r="L675" s="44"/>
      <c r="M675" s="47"/>
      <c r="N675" s="34" t="s">
        <v>1193</v>
      </c>
    </row>
    <row r="676" s="34" customFormat="1" ht="37.5" spans="2:14">
      <c r="B676" s="44">
        <f t="shared" si="12"/>
        <v>7490</v>
      </c>
      <c r="C676" s="44">
        <v>1</v>
      </c>
      <c r="D676" s="44" t="s">
        <v>1229</v>
      </c>
      <c r="E676" s="48" t="s">
        <v>1230</v>
      </c>
      <c r="F676" s="44" t="s">
        <v>109</v>
      </c>
      <c r="G676" s="44"/>
      <c r="H676" s="44" t="s">
        <v>468</v>
      </c>
      <c r="I676" s="44" t="s">
        <v>468</v>
      </c>
      <c r="J676" s="44">
        <v>1</v>
      </c>
      <c r="K676" s="44"/>
      <c r="L676" s="44"/>
      <c r="M676" s="47"/>
      <c r="N676" s="34" t="s">
        <v>1193</v>
      </c>
    </row>
    <row r="677" s="34" customFormat="1" ht="37.5" spans="2:14">
      <c r="B677" s="44">
        <f t="shared" si="12"/>
        <v>7491</v>
      </c>
      <c r="C677" s="44">
        <v>1</v>
      </c>
      <c r="D677" s="44" t="s">
        <v>1231</v>
      </c>
      <c r="E677" s="48" t="s">
        <v>1232</v>
      </c>
      <c r="F677" s="44" t="s">
        <v>109</v>
      </c>
      <c r="G677" s="44"/>
      <c r="H677" s="44" t="s">
        <v>468</v>
      </c>
      <c r="I677" s="44" t="s">
        <v>468</v>
      </c>
      <c r="J677" s="44">
        <v>1</v>
      </c>
      <c r="K677" s="44"/>
      <c r="L677" s="44"/>
      <c r="M677" s="47"/>
      <c r="N677" s="34" t="s">
        <v>1193</v>
      </c>
    </row>
    <row r="678" s="34" customFormat="1" ht="37.5" spans="2:14">
      <c r="B678" s="44">
        <f t="shared" si="12"/>
        <v>7492</v>
      </c>
      <c r="C678" s="44">
        <v>1</v>
      </c>
      <c r="D678" s="44" t="s">
        <v>1233</v>
      </c>
      <c r="E678" s="48" t="s">
        <v>1234</v>
      </c>
      <c r="F678" s="44" t="s">
        <v>109</v>
      </c>
      <c r="G678" s="44"/>
      <c r="H678" s="44" t="s">
        <v>468</v>
      </c>
      <c r="I678" s="44" t="s">
        <v>468</v>
      </c>
      <c r="J678" s="44">
        <v>1</v>
      </c>
      <c r="K678" s="44"/>
      <c r="L678" s="44"/>
      <c r="M678" s="47"/>
      <c r="N678" s="34" t="s">
        <v>1193</v>
      </c>
    </row>
    <row r="679" s="34" customFormat="1" ht="37.5" spans="2:14">
      <c r="B679" s="44">
        <f t="shared" si="12"/>
        <v>7493</v>
      </c>
      <c r="C679" s="44">
        <v>1</v>
      </c>
      <c r="D679" s="44" t="s">
        <v>1235</v>
      </c>
      <c r="E679" s="48" t="s">
        <v>1236</v>
      </c>
      <c r="F679" s="44" t="s">
        <v>109</v>
      </c>
      <c r="G679" s="44"/>
      <c r="H679" s="44" t="s">
        <v>468</v>
      </c>
      <c r="I679" s="44" t="s">
        <v>468</v>
      </c>
      <c r="J679" s="44">
        <v>1</v>
      </c>
      <c r="K679" s="44"/>
      <c r="L679" s="44"/>
      <c r="M679" s="47"/>
      <c r="N679" s="34" t="s">
        <v>1193</v>
      </c>
    </row>
    <row r="680" s="34" customFormat="1" ht="37.5" spans="2:14">
      <c r="B680" s="44">
        <f t="shared" si="12"/>
        <v>7494</v>
      </c>
      <c r="C680" s="44">
        <v>1</v>
      </c>
      <c r="D680" s="44" t="s">
        <v>1237</v>
      </c>
      <c r="E680" s="48" t="s">
        <v>1238</v>
      </c>
      <c r="F680" s="44" t="s">
        <v>109</v>
      </c>
      <c r="G680" s="44"/>
      <c r="H680" s="44" t="s">
        <v>468</v>
      </c>
      <c r="I680" s="44" t="s">
        <v>468</v>
      </c>
      <c r="J680" s="44">
        <v>1</v>
      </c>
      <c r="K680" s="44"/>
      <c r="L680" s="44"/>
      <c r="M680" s="47"/>
      <c r="N680" s="34" t="s">
        <v>1193</v>
      </c>
    </row>
    <row r="681" s="34" customFormat="1" ht="37.5" spans="2:14">
      <c r="B681" s="44">
        <f t="shared" si="12"/>
        <v>7495</v>
      </c>
      <c r="C681" s="44">
        <v>1</v>
      </c>
      <c r="D681" s="44" t="s">
        <v>1239</v>
      </c>
      <c r="E681" s="48" t="s">
        <v>1240</v>
      </c>
      <c r="F681" s="44" t="s">
        <v>109</v>
      </c>
      <c r="G681" s="44"/>
      <c r="H681" s="44" t="s">
        <v>468</v>
      </c>
      <c r="I681" s="44" t="s">
        <v>468</v>
      </c>
      <c r="J681" s="44">
        <v>1</v>
      </c>
      <c r="K681" s="44"/>
      <c r="L681" s="44"/>
      <c r="M681" s="47"/>
      <c r="N681" s="34" t="s">
        <v>1193</v>
      </c>
    </row>
    <row r="682" ht="37.5" spans="2:14">
      <c r="B682" s="28">
        <f t="shared" si="12"/>
        <v>7496</v>
      </c>
      <c r="C682" s="55">
        <v>1</v>
      </c>
      <c r="D682" s="28" t="s">
        <v>882</v>
      </c>
      <c r="E682" s="41" t="s">
        <v>883</v>
      </c>
      <c r="F682" s="28" t="s">
        <v>109</v>
      </c>
      <c r="G682" s="28" t="s">
        <v>974</v>
      </c>
      <c r="H682" s="28" t="s">
        <v>182</v>
      </c>
      <c r="I682" s="28" t="s">
        <v>468</v>
      </c>
      <c r="J682" s="28">
        <v>-0.001</v>
      </c>
      <c r="K682" s="28"/>
      <c r="L682" s="28"/>
      <c r="M682" s="46"/>
    </row>
    <row r="683" ht="37.5" spans="2:14">
      <c r="B683" s="28">
        <f t="shared" si="12"/>
        <v>7497</v>
      </c>
      <c r="C683" s="55">
        <v>1</v>
      </c>
      <c r="D683" s="28" t="s">
        <v>1241</v>
      </c>
      <c r="E683" s="41" t="s">
        <v>1242</v>
      </c>
      <c r="F683" s="28" t="s">
        <v>109</v>
      </c>
      <c r="G683" s="28" t="s">
        <v>974</v>
      </c>
      <c r="H683" s="28" t="s">
        <v>182</v>
      </c>
      <c r="I683" s="28" t="s">
        <v>468</v>
      </c>
      <c r="J683" s="28">
        <v>-0.001</v>
      </c>
      <c r="K683" s="28"/>
      <c r="L683" s="28"/>
      <c r="M683" s="46"/>
    </row>
    <row r="684" ht="37.5" spans="2:14">
      <c r="B684" s="28">
        <f t="shared" si="12"/>
        <v>7498</v>
      </c>
      <c r="C684" s="55">
        <v>1</v>
      </c>
      <c r="D684" s="28" t="s">
        <v>1243</v>
      </c>
      <c r="E684" s="41" t="s">
        <v>1244</v>
      </c>
      <c r="F684" s="28" t="s">
        <v>109</v>
      </c>
      <c r="G684" s="28" t="s">
        <v>974</v>
      </c>
      <c r="H684" s="28" t="s">
        <v>182</v>
      </c>
      <c r="I684" s="28" t="s">
        <v>468</v>
      </c>
      <c r="J684" s="28">
        <v>-0.001</v>
      </c>
      <c r="K684" s="28"/>
      <c r="L684" s="28"/>
      <c r="M684" s="46"/>
    </row>
    <row r="685" s="34" customFormat="1" ht="37.5" spans="2:14">
      <c r="B685" s="44">
        <f t="shared" si="12"/>
        <v>7499</v>
      </c>
      <c r="C685" s="61">
        <v>1</v>
      </c>
      <c r="D685" s="44" t="s">
        <v>1245</v>
      </c>
      <c r="E685" s="48" t="s">
        <v>1246</v>
      </c>
      <c r="F685" s="44" t="s">
        <v>109</v>
      </c>
      <c r="G685" s="44" t="s">
        <v>974</v>
      </c>
      <c r="H685" s="44" t="s">
        <v>182</v>
      </c>
      <c r="I685" s="44" t="s">
        <v>468</v>
      </c>
      <c r="J685" s="44">
        <v>-0.001</v>
      </c>
      <c r="K685" s="44"/>
      <c r="L685" s="44"/>
      <c r="M685" s="47"/>
      <c r="N685" s="34" t="s">
        <v>1193</v>
      </c>
    </row>
    <row r="686" s="34" customFormat="1" ht="37.5" spans="2:14">
      <c r="B686" s="44">
        <f t="shared" si="12"/>
        <v>7500</v>
      </c>
      <c r="C686" s="44">
        <v>1</v>
      </c>
      <c r="D686" s="44" t="s">
        <v>1247</v>
      </c>
      <c r="E686" s="48" t="s">
        <v>1248</v>
      </c>
      <c r="F686" s="44" t="s">
        <v>109</v>
      </c>
      <c r="G686" s="44"/>
      <c r="H686" s="44" t="s">
        <v>468</v>
      </c>
      <c r="I686" s="44" t="s">
        <v>468</v>
      </c>
      <c r="J686" s="44">
        <v>1</v>
      </c>
      <c r="K686" s="44"/>
      <c r="L686" s="44"/>
      <c r="M686" s="47"/>
      <c r="N686" s="34" t="s">
        <v>1193</v>
      </c>
    </row>
    <row r="687" s="34" customFormat="1" ht="37.5" spans="2:14">
      <c r="B687" s="44">
        <f t="shared" si="12"/>
        <v>7501</v>
      </c>
      <c r="C687" s="44">
        <v>1</v>
      </c>
      <c r="D687" s="44" t="s">
        <v>1249</v>
      </c>
      <c r="E687" s="48" t="s">
        <v>1250</v>
      </c>
      <c r="F687" s="44" t="s">
        <v>109</v>
      </c>
      <c r="G687" s="44"/>
      <c r="H687" s="44" t="s">
        <v>468</v>
      </c>
      <c r="I687" s="44" t="s">
        <v>468</v>
      </c>
      <c r="J687" s="44">
        <v>1</v>
      </c>
      <c r="K687" s="44"/>
      <c r="L687" s="44"/>
      <c r="M687" s="47"/>
      <c r="N687" s="34" t="s">
        <v>1193</v>
      </c>
    </row>
    <row r="688" s="34" customFormat="1" ht="37.5" spans="2:14">
      <c r="B688" s="44">
        <f t="shared" si="12"/>
        <v>7502</v>
      </c>
      <c r="C688" s="44">
        <v>1</v>
      </c>
      <c r="D688" s="44" t="s">
        <v>1251</v>
      </c>
      <c r="E688" s="48" t="s">
        <v>1252</v>
      </c>
      <c r="F688" s="44" t="s">
        <v>109</v>
      </c>
      <c r="G688" s="44"/>
      <c r="H688" s="44" t="s">
        <v>468</v>
      </c>
      <c r="I688" s="44" t="s">
        <v>468</v>
      </c>
      <c r="J688" s="44">
        <v>1</v>
      </c>
      <c r="K688" s="44"/>
      <c r="L688" s="44"/>
      <c r="M688" s="47"/>
      <c r="N688" s="34" t="s">
        <v>1193</v>
      </c>
    </row>
    <row r="689" s="34" customFormat="1" ht="37.5" spans="2:14">
      <c r="B689" s="44">
        <f t="shared" si="12"/>
        <v>7503</v>
      </c>
      <c r="C689" s="44">
        <v>1</v>
      </c>
      <c r="D689" s="44" t="s">
        <v>1253</v>
      </c>
      <c r="E689" s="48" t="s">
        <v>1254</v>
      </c>
      <c r="F689" s="44" t="s">
        <v>109</v>
      </c>
      <c r="G689" s="44"/>
      <c r="H689" s="44" t="s">
        <v>468</v>
      </c>
      <c r="I689" s="44" t="s">
        <v>468</v>
      </c>
      <c r="J689" s="44">
        <v>1</v>
      </c>
      <c r="K689" s="44"/>
      <c r="L689" s="44"/>
      <c r="M689" s="47"/>
      <c r="N689" s="34" t="s">
        <v>1193</v>
      </c>
    </row>
    <row r="690" s="34" customFormat="1" ht="37.5" spans="2:14">
      <c r="B690" s="44">
        <f t="shared" si="12"/>
        <v>7504</v>
      </c>
      <c r="C690" s="44">
        <v>1</v>
      </c>
      <c r="D690" s="44" t="s">
        <v>1255</v>
      </c>
      <c r="E690" s="48" t="s">
        <v>1256</v>
      </c>
      <c r="F690" s="44" t="s">
        <v>109</v>
      </c>
      <c r="G690" s="44"/>
      <c r="H690" s="44" t="s">
        <v>468</v>
      </c>
      <c r="I690" s="44" t="s">
        <v>468</v>
      </c>
      <c r="J690" s="44">
        <v>1</v>
      </c>
      <c r="K690" s="44"/>
      <c r="L690" s="44"/>
      <c r="M690" s="47"/>
      <c r="N690" s="34" t="s">
        <v>1193</v>
      </c>
    </row>
    <row r="691" s="34" customFormat="1" ht="37.5" spans="2:14">
      <c r="B691" s="44">
        <f t="shared" si="12"/>
        <v>7505</v>
      </c>
      <c r="C691" s="44">
        <v>1</v>
      </c>
      <c r="D691" s="44" t="s">
        <v>1257</v>
      </c>
      <c r="E691" s="48" t="s">
        <v>1258</v>
      </c>
      <c r="F691" s="44" t="s">
        <v>109</v>
      </c>
      <c r="G691" s="44"/>
      <c r="H691" s="44" t="s">
        <v>468</v>
      </c>
      <c r="I691" s="44" t="s">
        <v>468</v>
      </c>
      <c r="J691" s="44">
        <v>1</v>
      </c>
      <c r="K691" s="44"/>
      <c r="L691" s="44"/>
      <c r="M691" s="47"/>
      <c r="N691" s="34" t="s">
        <v>1193</v>
      </c>
    </row>
    <row r="692" s="34" customFormat="1" ht="37.5" spans="2:14">
      <c r="B692" s="44">
        <f t="shared" si="12"/>
        <v>7506</v>
      </c>
      <c r="C692" s="44">
        <v>1</v>
      </c>
      <c r="D692" s="44" t="s">
        <v>1259</v>
      </c>
      <c r="E692" s="48" t="s">
        <v>1260</v>
      </c>
      <c r="F692" s="44" t="s">
        <v>109</v>
      </c>
      <c r="G692" s="44"/>
      <c r="H692" s="44" t="s">
        <v>468</v>
      </c>
      <c r="I692" s="44" t="s">
        <v>468</v>
      </c>
      <c r="J692" s="44">
        <v>1</v>
      </c>
      <c r="K692" s="44"/>
      <c r="L692" s="44"/>
      <c r="M692" s="47"/>
      <c r="N692" s="34" t="s">
        <v>1193</v>
      </c>
    </row>
    <row r="693" s="34" customFormat="1" ht="37.5" spans="2:14">
      <c r="B693" s="44">
        <f t="shared" si="12"/>
        <v>7507</v>
      </c>
      <c r="C693" s="44">
        <v>1</v>
      </c>
      <c r="D693" s="44" t="s">
        <v>1261</v>
      </c>
      <c r="E693" s="48" t="s">
        <v>1262</v>
      </c>
      <c r="F693" s="44" t="s">
        <v>109</v>
      </c>
      <c r="G693" s="44"/>
      <c r="H693" s="44" t="s">
        <v>468</v>
      </c>
      <c r="I693" s="44" t="s">
        <v>468</v>
      </c>
      <c r="J693" s="44">
        <v>1</v>
      </c>
      <c r="K693" s="44"/>
      <c r="L693" s="44"/>
      <c r="M693" s="47"/>
      <c r="N693" s="34" t="s">
        <v>1193</v>
      </c>
    </row>
    <row r="694" ht="37.5" spans="2:14">
      <c r="B694" s="28">
        <f t="shared" si="12"/>
        <v>7508</v>
      </c>
      <c r="C694" s="55">
        <v>1</v>
      </c>
      <c r="D694" s="28" t="s">
        <v>1263</v>
      </c>
      <c r="E694" s="41" t="s">
        <v>1264</v>
      </c>
      <c r="F694" s="28" t="s">
        <v>109</v>
      </c>
      <c r="G694" s="28" t="s">
        <v>974</v>
      </c>
      <c r="H694" s="28" t="s">
        <v>182</v>
      </c>
      <c r="I694" s="28" t="s">
        <v>468</v>
      </c>
      <c r="J694" s="28">
        <v>-0.001</v>
      </c>
      <c r="K694" s="28"/>
      <c r="L694" s="28"/>
      <c r="M694" s="46"/>
    </row>
    <row r="695" ht="37.5" spans="2:14">
      <c r="B695" s="28">
        <f t="shared" ref="B695:B756" si="13">B694+C694</f>
        <v>7509</v>
      </c>
      <c r="C695" s="55">
        <v>1</v>
      </c>
      <c r="D695" s="28" t="s">
        <v>1265</v>
      </c>
      <c r="E695" s="41" t="s">
        <v>1266</v>
      </c>
      <c r="F695" s="28" t="s">
        <v>109</v>
      </c>
      <c r="G695" s="28" t="s">
        <v>974</v>
      </c>
      <c r="H695" s="28" t="s">
        <v>182</v>
      </c>
      <c r="I695" s="28" t="s">
        <v>468</v>
      </c>
      <c r="J695" s="28">
        <v>-0.001</v>
      </c>
      <c r="K695" s="28"/>
      <c r="L695" s="28"/>
      <c r="M695" s="46"/>
    </row>
    <row r="696" ht="37.5" spans="2:14">
      <c r="B696" s="28">
        <f t="shared" si="13"/>
        <v>7510</v>
      </c>
      <c r="C696" s="55">
        <v>1</v>
      </c>
      <c r="D696" s="28" t="s">
        <v>1267</v>
      </c>
      <c r="E696" s="41" t="s">
        <v>1268</v>
      </c>
      <c r="F696" s="28" t="s">
        <v>109</v>
      </c>
      <c r="G696" s="28" t="s">
        <v>974</v>
      </c>
      <c r="H696" s="28" t="s">
        <v>182</v>
      </c>
      <c r="I696" s="28" t="s">
        <v>468</v>
      </c>
      <c r="J696" s="28">
        <v>-0.001</v>
      </c>
      <c r="K696" s="28"/>
      <c r="L696" s="28"/>
      <c r="M696" s="46"/>
    </row>
    <row r="697" ht="37.5" spans="2:14">
      <c r="B697" s="28">
        <f t="shared" si="13"/>
        <v>7511</v>
      </c>
      <c r="C697" s="55">
        <v>1</v>
      </c>
      <c r="D697" s="28" t="s">
        <v>1269</v>
      </c>
      <c r="E697" s="41" t="s">
        <v>1270</v>
      </c>
      <c r="F697" s="28" t="s">
        <v>109</v>
      </c>
      <c r="G697" s="28" t="s">
        <v>974</v>
      </c>
      <c r="H697" s="28" t="s">
        <v>182</v>
      </c>
      <c r="I697" s="28" t="s">
        <v>468</v>
      </c>
      <c r="J697" s="28">
        <v>-0.001</v>
      </c>
      <c r="K697" s="28"/>
      <c r="L697" s="28"/>
      <c r="M697" s="46"/>
    </row>
    <row r="698" ht="18.75" spans="2:14">
      <c r="B698" s="28">
        <f t="shared" si="13"/>
        <v>7512</v>
      </c>
      <c r="C698" s="28">
        <v>2</v>
      </c>
      <c r="D698" s="28" t="s">
        <v>1271</v>
      </c>
      <c r="E698" s="41" t="s">
        <v>181</v>
      </c>
      <c r="F698" s="28" t="s">
        <v>109</v>
      </c>
      <c r="G698" s="28"/>
      <c r="H698" s="28" t="s">
        <v>450</v>
      </c>
      <c r="I698" s="28" t="s">
        <v>450</v>
      </c>
      <c r="J698" s="28">
        <v>1</v>
      </c>
      <c r="K698" s="28"/>
      <c r="L698" s="28"/>
      <c r="M698" s="46"/>
    </row>
    <row r="699" ht="18.75" spans="2:14">
      <c r="B699" s="28">
        <f t="shared" si="13"/>
        <v>7514</v>
      </c>
      <c r="C699" s="28">
        <v>2</v>
      </c>
      <c r="D699" s="28" t="s">
        <v>225</v>
      </c>
      <c r="E699" s="41" t="s">
        <v>1272</v>
      </c>
      <c r="F699" s="28" t="s">
        <v>109</v>
      </c>
      <c r="G699" s="28"/>
      <c r="H699" s="28" t="s">
        <v>450</v>
      </c>
      <c r="I699" s="28" t="s">
        <v>450</v>
      </c>
      <c r="J699" s="28">
        <v>1</v>
      </c>
      <c r="K699" s="28"/>
      <c r="L699" s="28"/>
      <c r="M699" s="46"/>
    </row>
    <row r="700" ht="18.75" spans="2:14">
      <c r="B700" s="28">
        <f t="shared" si="13"/>
        <v>7516</v>
      </c>
      <c r="C700" s="28">
        <v>2</v>
      </c>
      <c r="D700" s="28" t="s">
        <v>1273</v>
      </c>
      <c r="E700" s="41" t="s">
        <v>1274</v>
      </c>
      <c r="F700" s="28" t="s">
        <v>109</v>
      </c>
      <c r="G700" s="28"/>
      <c r="H700" s="28" t="s">
        <v>450</v>
      </c>
      <c r="I700" s="28" t="s">
        <v>450</v>
      </c>
      <c r="J700" s="28">
        <v>1</v>
      </c>
      <c r="K700" s="28"/>
      <c r="L700" s="28"/>
      <c r="M700" s="46"/>
    </row>
    <row r="701" ht="18.75" spans="2:14">
      <c r="B701" s="28">
        <f t="shared" si="13"/>
        <v>7518</v>
      </c>
      <c r="C701" s="28">
        <v>2</v>
      </c>
      <c r="D701" s="28" t="s">
        <v>1275</v>
      </c>
      <c r="E701" s="41" t="s">
        <v>1276</v>
      </c>
      <c r="F701" s="28" t="s">
        <v>109</v>
      </c>
      <c r="G701" s="28"/>
      <c r="H701" s="28" t="s">
        <v>450</v>
      </c>
      <c r="I701" s="28" t="s">
        <v>450</v>
      </c>
      <c r="J701" s="28">
        <v>1</v>
      </c>
      <c r="K701" s="28"/>
      <c r="L701" s="28"/>
      <c r="M701" s="46"/>
    </row>
    <row r="702" ht="18.75" spans="2:14">
      <c r="B702" s="28">
        <f t="shared" si="13"/>
        <v>7520</v>
      </c>
      <c r="C702" s="28">
        <v>1</v>
      </c>
      <c r="D702" s="28" t="s">
        <v>1277</v>
      </c>
      <c r="E702" s="41" t="s">
        <v>1277</v>
      </c>
      <c r="F702" s="28" t="s">
        <v>109</v>
      </c>
      <c r="G702" s="28"/>
      <c r="H702" s="28" t="s">
        <v>172</v>
      </c>
      <c r="I702" s="28" t="s">
        <v>172</v>
      </c>
      <c r="J702" s="28">
        <v>1</v>
      </c>
      <c r="K702" s="28"/>
      <c r="L702" s="28"/>
      <c r="M702" s="46" t="s">
        <v>1278</v>
      </c>
    </row>
    <row r="703" ht="18.75" spans="2:14">
      <c r="B703" s="28">
        <f t="shared" si="13"/>
        <v>7521</v>
      </c>
      <c r="C703" s="28">
        <v>1</v>
      </c>
      <c r="D703" s="28" t="s">
        <v>1279</v>
      </c>
      <c r="E703" s="41" t="s">
        <v>1279</v>
      </c>
      <c r="F703" s="28" t="s">
        <v>109</v>
      </c>
      <c r="G703" s="28"/>
      <c r="H703" s="28" t="s">
        <v>172</v>
      </c>
      <c r="I703" s="28" t="s">
        <v>172</v>
      </c>
      <c r="J703" s="28">
        <v>1</v>
      </c>
      <c r="K703" s="28"/>
      <c r="L703" s="28"/>
      <c r="M703" s="46"/>
    </row>
    <row r="704" ht="18.75" spans="2:14">
      <c r="B704" s="28">
        <f t="shared" si="13"/>
        <v>7522</v>
      </c>
      <c r="C704" s="28">
        <v>1</v>
      </c>
      <c r="D704" s="28" t="s">
        <v>1280</v>
      </c>
      <c r="E704" s="41" t="s">
        <v>1280</v>
      </c>
      <c r="F704" s="28" t="s">
        <v>109</v>
      </c>
      <c r="G704" s="28"/>
      <c r="H704" s="28" t="s">
        <v>172</v>
      </c>
      <c r="I704" s="28" t="s">
        <v>172</v>
      </c>
      <c r="J704" s="28">
        <v>1</v>
      </c>
      <c r="K704" s="28"/>
      <c r="L704" s="28"/>
      <c r="M704" s="46"/>
    </row>
    <row r="705" ht="18.75" spans="2:13">
      <c r="B705" s="28">
        <f t="shared" si="13"/>
        <v>7523</v>
      </c>
      <c r="C705" s="28">
        <v>1</v>
      </c>
      <c r="D705" s="28" t="s">
        <v>1281</v>
      </c>
      <c r="E705" s="41" t="s">
        <v>1281</v>
      </c>
      <c r="F705" s="28" t="s">
        <v>109</v>
      </c>
      <c r="G705" s="28"/>
      <c r="H705" s="28" t="s">
        <v>172</v>
      </c>
      <c r="I705" s="28" t="s">
        <v>172</v>
      </c>
      <c r="J705" s="28">
        <v>1</v>
      </c>
      <c r="K705" s="28"/>
      <c r="L705" s="28"/>
      <c r="M705" s="46"/>
    </row>
    <row r="706" ht="18.75" spans="2:13">
      <c r="B706" s="28">
        <f t="shared" si="13"/>
        <v>7524</v>
      </c>
      <c r="C706" s="28">
        <v>1</v>
      </c>
      <c r="D706" s="28" t="s">
        <v>1282</v>
      </c>
      <c r="E706" s="41" t="s">
        <v>1282</v>
      </c>
      <c r="F706" s="28" t="s">
        <v>109</v>
      </c>
      <c r="G706" s="28"/>
      <c r="H706" s="28" t="s">
        <v>172</v>
      </c>
      <c r="I706" s="28" t="s">
        <v>172</v>
      </c>
      <c r="J706" s="28">
        <v>1</v>
      </c>
      <c r="K706" s="28"/>
      <c r="L706" s="28"/>
      <c r="M706" s="46"/>
    </row>
    <row r="707" ht="18.75" spans="2:13">
      <c r="B707" s="28">
        <f t="shared" si="13"/>
        <v>7525</v>
      </c>
      <c r="C707" s="28">
        <v>1</v>
      </c>
      <c r="D707" s="28" t="s">
        <v>1283</v>
      </c>
      <c r="E707" s="41" t="s">
        <v>1283</v>
      </c>
      <c r="F707" s="28" t="s">
        <v>109</v>
      </c>
      <c r="G707" s="28"/>
      <c r="H707" s="28" t="s">
        <v>172</v>
      </c>
      <c r="I707" s="28" t="s">
        <v>172</v>
      </c>
      <c r="J707" s="28">
        <v>1</v>
      </c>
      <c r="K707" s="28"/>
      <c r="L707" s="28"/>
      <c r="M707" s="46"/>
    </row>
    <row r="708" ht="18.75" spans="2:13">
      <c r="B708" s="28">
        <f t="shared" si="13"/>
        <v>7526</v>
      </c>
      <c r="C708" s="28">
        <v>1</v>
      </c>
      <c r="D708" s="28" t="s">
        <v>1284</v>
      </c>
      <c r="E708" s="41" t="s">
        <v>1284</v>
      </c>
      <c r="F708" s="28" t="s">
        <v>109</v>
      </c>
      <c r="G708" s="28"/>
      <c r="H708" s="28" t="s">
        <v>172</v>
      </c>
      <c r="I708" s="28" t="s">
        <v>172</v>
      </c>
      <c r="J708" s="28">
        <v>1</v>
      </c>
      <c r="K708" s="28"/>
      <c r="L708" s="28"/>
      <c r="M708" s="46"/>
    </row>
    <row r="709" ht="18.75" spans="2:13">
      <c r="B709" s="28">
        <f t="shared" si="13"/>
        <v>7527</v>
      </c>
      <c r="C709" s="28">
        <v>1</v>
      </c>
      <c r="D709" s="28" t="s">
        <v>1285</v>
      </c>
      <c r="E709" s="41" t="s">
        <v>1285</v>
      </c>
      <c r="F709" s="28" t="s">
        <v>109</v>
      </c>
      <c r="G709" s="28"/>
      <c r="H709" s="28" t="s">
        <v>172</v>
      </c>
      <c r="I709" s="28" t="s">
        <v>172</v>
      </c>
      <c r="J709" s="28">
        <v>1</v>
      </c>
      <c r="K709" s="28"/>
      <c r="L709" s="28"/>
      <c r="M709" s="46"/>
    </row>
    <row r="710" ht="18.75" spans="2:13">
      <c r="B710" s="28">
        <f t="shared" si="13"/>
        <v>7528</v>
      </c>
      <c r="C710" s="28">
        <v>1</v>
      </c>
      <c r="D710" s="28" t="s">
        <v>1286</v>
      </c>
      <c r="E710" s="41" t="s">
        <v>1287</v>
      </c>
      <c r="F710" s="28" t="s">
        <v>109</v>
      </c>
      <c r="G710" s="28"/>
      <c r="H710" s="28" t="s">
        <v>172</v>
      </c>
      <c r="I710" s="28" t="s">
        <v>172</v>
      </c>
      <c r="J710" s="28">
        <v>1</v>
      </c>
      <c r="K710" s="28"/>
      <c r="L710" s="28" t="s">
        <v>895</v>
      </c>
      <c r="M710" s="46"/>
    </row>
    <row r="711" ht="18.75" spans="2:13">
      <c r="B711" s="28">
        <f t="shared" si="13"/>
        <v>7529</v>
      </c>
      <c r="C711" s="28">
        <v>1</v>
      </c>
      <c r="D711" s="28" t="s">
        <v>1288</v>
      </c>
      <c r="E711" s="41" t="s">
        <v>1289</v>
      </c>
      <c r="F711" s="28" t="s">
        <v>109</v>
      </c>
      <c r="G711" s="28"/>
      <c r="H711" s="28" t="s">
        <v>172</v>
      </c>
      <c r="I711" s="28" t="s">
        <v>172</v>
      </c>
      <c r="J711" s="28">
        <v>1</v>
      </c>
      <c r="K711" s="28"/>
      <c r="L711" s="28" t="s">
        <v>1290</v>
      </c>
      <c r="M711" s="46"/>
    </row>
    <row r="712" ht="18.75" spans="2:13">
      <c r="B712" s="28">
        <f t="shared" si="13"/>
        <v>7530</v>
      </c>
      <c r="C712" s="28">
        <v>1</v>
      </c>
      <c r="D712" s="28" t="s">
        <v>789</v>
      </c>
      <c r="E712" s="41" t="s">
        <v>790</v>
      </c>
      <c r="F712" s="28" t="s">
        <v>109</v>
      </c>
      <c r="G712" s="28"/>
      <c r="H712" s="28" t="s">
        <v>171</v>
      </c>
      <c r="I712" s="28" t="s">
        <v>172</v>
      </c>
      <c r="J712" s="28">
        <v>1</v>
      </c>
      <c r="K712" s="28"/>
      <c r="L712" s="28"/>
      <c r="M712" s="46"/>
    </row>
    <row r="713" ht="18.75" spans="2:13">
      <c r="B713" s="28">
        <f t="shared" si="13"/>
        <v>7531</v>
      </c>
      <c r="C713" s="55">
        <v>1</v>
      </c>
      <c r="D713" s="28" t="s">
        <v>1291</v>
      </c>
      <c r="E713" s="41" t="s">
        <v>1292</v>
      </c>
      <c r="F713" s="28" t="s">
        <v>109</v>
      </c>
      <c r="G713" s="28"/>
      <c r="H713" s="28" t="s">
        <v>230</v>
      </c>
      <c r="I713" s="28" t="s">
        <v>230</v>
      </c>
      <c r="J713" s="28">
        <v>1</v>
      </c>
      <c r="K713" s="28"/>
      <c r="L713" s="28"/>
      <c r="M713" s="46"/>
    </row>
    <row r="714" ht="18.75" spans="2:13">
      <c r="B714" s="28">
        <f t="shared" si="13"/>
        <v>7532</v>
      </c>
      <c r="C714" s="55">
        <v>1</v>
      </c>
      <c r="D714" s="28" t="s">
        <v>1293</v>
      </c>
      <c r="E714" s="41" t="s">
        <v>1294</v>
      </c>
      <c r="F714" s="28" t="s">
        <v>109</v>
      </c>
      <c r="G714" s="28"/>
      <c r="H714" s="28" t="s">
        <v>230</v>
      </c>
      <c r="I714" s="28" t="s">
        <v>230</v>
      </c>
      <c r="J714" s="28">
        <v>1</v>
      </c>
      <c r="K714" s="28"/>
      <c r="L714" s="28"/>
      <c r="M714" s="46"/>
    </row>
    <row r="715" ht="37.5" spans="2:13">
      <c r="B715" s="28">
        <f t="shared" si="13"/>
        <v>7533</v>
      </c>
      <c r="C715" s="55">
        <v>1</v>
      </c>
      <c r="D715" s="28" t="s">
        <v>1295</v>
      </c>
      <c r="E715" s="41" t="s">
        <v>1296</v>
      </c>
      <c r="F715" s="28" t="s">
        <v>109</v>
      </c>
      <c r="G715" s="28"/>
      <c r="H715" s="28" t="s">
        <v>230</v>
      </c>
      <c r="I715" s="28" t="s">
        <v>230</v>
      </c>
      <c r="J715" s="28">
        <v>1</v>
      </c>
      <c r="K715" s="28"/>
      <c r="L715" s="28"/>
      <c r="M715" s="46"/>
    </row>
    <row r="716" ht="37.5" spans="2:13">
      <c r="B716" s="28">
        <f t="shared" si="13"/>
        <v>7534</v>
      </c>
      <c r="C716" s="55">
        <v>1</v>
      </c>
      <c r="D716" s="28" t="s">
        <v>1297</v>
      </c>
      <c r="E716" s="41" t="s">
        <v>1298</v>
      </c>
      <c r="F716" s="28" t="s">
        <v>109</v>
      </c>
      <c r="G716" s="28"/>
      <c r="H716" s="28" t="s">
        <v>230</v>
      </c>
      <c r="I716" s="28" t="s">
        <v>230</v>
      </c>
      <c r="J716" s="28">
        <v>1</v>
      </c>
      <c r="K716" s="28"/>
      <c r="L716" s="28"/>
      <c r="M716" s="46"/>
    </row>
    <row r="717" ht="18.75" spans="2:13">
      <c r="B717" s="28">
        <f t="shared" si="13"/>
        <v>7535</v>
      </c>
      <c r="C717" s="55">
        <v>1</v>
      </c>
      <c r="D717" s="28" t="s">
        <v>1299</v>
      </c>
      <c r="E717" s="41" t="s">
        <v>1300</v>
      </c>
      <c r="F717" s="28" t="s">
        <v>109</v>
      </c>
      <c r="G717" s="28"/>
      <c r="H717" s="28" t="s">
        <v>230</v>
      </c>
      <c r="I717" s="28" t="s">
        <v>230</v>
      </c>
      <c r="J717" s="28">
        <v>1</v>
      </c>
      <c r="K717" s="28"/>
      <c r="L717" s="28"/>
      <c r="M717" s="46"/>
    </row>
    <row r="718" ht="37.5" spans="2:13">
      <c r="B718" s="28">
        <f t="shared" si="13"/>
        <v>7536</v>
      </c>
      <c r="C718" s="55">
        <v>1</v>
      </c>
      <c r="D718" s="28" t="s">
        <v>1301</v>
      </c>
      <c r="E718" s="41" t="s">
        <v>1302</v>
      </c>
      <c r="F718" s="28" t="s">
        <v>109</v>
      </c>
      <c r="G718" s="28"/>
      <c r="H718" s="28" t="s">
        <v>230</v>
      </c>
      <c r="I718" s="28" t="s">
        <v>230</v>
      </c>
      <c r="J718" s="28">
        <v>1</v>
      </c>
      <c r="K718" s="28"/>
      <c r="L718" s="28"/>
      <c r="M718" s="46"/>
    </row>
    <row r="719" ht="18.75" spans="2:13">
      <c r="B719" s="28">
        <f t="shared" si="13"/>
        <v>7537</v>
      </c>
      <c r="C719" s="55">
        <v>1</v>
      </c>
      <c r="D719" s="28" t="s">
        <v>1303</v>
      </c>
      <c r="E719" s="41" t="s">
        <v>1304</v>
      </c>
      <c r="F719" s="28" t="s">
        <v>109</v>
      </c>
      <c r="G719" s="28"/>
      <c r="H719" s="28" t="s">
        <v>230</v>
      </c>
      <c r="I719" s="28" t="s">
        <v>230</v>
      </c>
      <c r="J719" s="28">
        <v>1</v>
      </c>
      <c r="K719" s="28"/>
      <c r="L719" s="28"/>
      <c r="M719" s="46"/>
    </row>
    <row r="720" ht="18.75" spans="2:13">
      <c r="B720" s="28">
        <f t="shared" si="13"/>
        <v>7538</v>
      </c>
      <c r="C720" s="55">
        <v>1</v>
      </c>
      <c r="D720" s="28" t="s">
        <v>1305</v>
      </c>
      <c r="E720" s="41" t="s">
        <v>1306</v>
      </c>
      <c r="F720" s="28" t="s">
        <v>109</v>
      </c>
      <c r="G720" s="28"/>
      <c r="H720" s="28" t="s">
        <v>230</v>
      </c>
      <c r="I720" s="28" t="s">
        <v>230</v>
      </c>
      <c r="J720" s="28">
        <v>1</v>
      </c>
      <c r="K720" s="28"/>
      <c r="L720" s="28"/>
      <c r="M720" s="46"/>
    </row>
    <row r="721" ht="18.75" spans="2:14">
      <c r="B721" s="28">
        <f t="shared" si="13"/>
        <v>7539</v>
      </c>
      <c r="C721" s="55">
        <v>1</v>
      </c>
      <c r="D721" s="28" t="s">
        <v>1307</v>
      </c>
      <c r="E721" s="41" t="s">
        <v>1308</v>
      </c>
      <c r="F721" s="28" t="s">
        <v>109</v>
      </c>
      <c r="G721" s="28"/>
      <c r="H721" s="28" t="s">
        <v>230</v>
      </c>
      <c r="I721" s="28" t="s">
        <v>230</v>
      </c>
      <c r="J721" s="28">
        <v>1</v>
      </c>
      <c r="K721" s="28"/>
      <c r="L721" s="28"/>
      <c r="M721" s="46"/>
    </row>
    <row r="722" ht="18.75" spans="2:14">
      <c r="B722" s="28">
        <f t="shared" si="13"/>
        <v>7540</v>
      </c>
      <c r="C722" s="55">
        <v>1</v>
      </c>
      <c r="D722" s="28" t="s">
        <v>1309</v>
      </c>
      <c r="E722" s="41" t="s">
        <v>1310</v>
      </c>
      <c r="F722" s="28" t="s">
        <v>109</v>
      </c>
      <c r="G722" s="28"/>
      <c r="H722" s="28" t="s">
        <v>230</v>
      </c>
      <c r="I722" s="28" t="s">
        <v>230</v>
      </c>
      <c r="J722" s="28">
        <v>1</v>
      </c>
      <c r="K722" s="28"/>
      <c r="L722" s="28"/>
      <c r="M722" s="46"/>
    </row>
    <row r="723" ht="18.75" spans="2:14">
      <c r="B723" s="28">
        <f t="shared" si="13"/>
        <v>7541</v>
      </c>
      <c r="C723" s="28">
        <v>1</v>
      </c>
      <c r="D723" s="28" t="s">
        <v>1311</v>
      </c>
      <c r="E723" s="41" t="s">
        <v>1312</v>
      </c>
      <c r="F723" s="28" t="s">
        <v>109</v>
      </c>
      <c r="G723" s="28"/>
      <c r="H723" s="28" t="s">
        <v>182</v>
      </c>
      <c r="I723" s="28" t="s">
        <v>172</v>
      </c>
      <c r="J723" s="28">
        <v>0.1</v>
      </c>
      <c r="K723" s="28"/>
      <c r="L723" s="28"/>
      <c r="M723" s="46"/>
    </row>
    <row r="724" ht="18.75" spans="2:14">
      <c r="B724" s="28">
        <f t="shared" si="13"/>
        <v>7542</v>
      </c>
      <c r="C724" s="28">
        <v>1</v>
      </c>
      <c r="D724" s="28" t="s">
        <v>1313</v>
      </c>
      <c r="E724" s="41" t="s">
        <v>1314</v>
      </c>
      <c r="F724" s="28" t="s">
        <v>109</v>
      </c>
      <c r="G724" s="28"/>
      <c r="H724" s="28" t="s">
        <v>182</v>
      </c>
      <c r="I724" s="28" t="s">
        <v>172</v>
      </c>
      <c r="J724" s="28">
        <v>0.1</v>
      </c>
      <c r="K724" s="28"/>
      <c r="L724" s="28"/>
      <c r="M724" s="46"/>
      <c r="N724" s="34"/>
    </row>
    <row r="725" s="34" customFormat="1" ht="18.75" spans="2:14">
      <c r="B725" s="44">
        <f t="shared" si="13"/>
        <v>7543</v>
      </c>
      <c r="C725" s="44">
        <v>1</v>
      </c>
      <c r="D725" s="44" t="s">
        <v>1315</v>
      </c>
      <c r="E725" s="48" t="s">
        <v>1316</v>
      </c>
      <c r="F725" s="44" t="s">
        <v>109</v>
      </c>
      <c r="G725" s="44"/>
      <c r="H725" s="44" t="s">
        <v>468</v>
      </c>
      <c r="I725" s="44" t="s">
        <v>468</v>
      </c>
      <c r="J725" s="44">
        <v>1</v>
      </c>
      <c r="K725" s="44"/>
      <c r="L725" s="44"/>
      <c r="M725" s="47"/>
      <c r="N725" s="34" t="s">
        <v>1193</v>
      </c>
    </row>
    <row r="726" s="34" customFormat="1" ht="18.75" spans="2:14">
      <c r="B726" s="44">
        <f t="shared" si="13"/>
        <v>7544</v>
      </c>
      <c r="C726" s="44">
        <v>1</v>
      </c>
      <c r="D726" s="44" t="s">
        <v>1317</v>
      </c>
      <c r="E726" s="48" t="s">
        <v>1318</v>
      </c>
      <c r="F726" s="44" t="s">
        <v>109</v>
      </c>
      <c r="G726" s="44"/>
      <c r="H726" s="44" t="s">
        <v>468</v>
      </c>
      <c r="I726" s="44" t="s">
        <v>468</v>
      </c>
      <c r="J726" s="44">
        <v>1</v>
      </c>
      <c r="K726" s="44"/>
      <c r="L726" s="44"/>
      <c r="M726" s="47"/>
      <c r="N726" s="34" t="s">
        <v>1193</v>
      </c>
    </row>
    <row r="727" s="34" customFormat="1" ht="18.75" spans="2:14">
      <c r="B727" s="44">
        <f t="shared" si="13"/>
        <v>7545</v>
      </c>
      <c r="C727" s="44">
        <v>1</v>
      </c>
      <c r="D727" s="44" t="s">
        <v>1319</v>
      </c>
      <c r="E727" s="48" t="s">
        <v>1320</v>
      </c>
      <c r="F727" s="44" t="s">
        <v>109</v>
      </c>
      <c r="G727" s="44"/>
      <c r="H727" s="44" t="s">
        <v>468</v>
      </c>
      <c r="I727" s="44" t="s">
        <v>468</v>
      </c>
      <c r="J727" s="44">
        <v>1</v>
      </c>
      <c r="K727" s="44"/>
      <c r="L727" s="44"/>
      <c r="M727" s="47"/>
      <c r="N727" s="34" t="s">
        <v>1193</v>
      </c>
    </row>
    <row r="728" s="34" customFormat="1" ht="18.75" spans="2:14">
      <c r="B728" s="44">
        <f t="shared" si="13"/>
        <v>7546</v>
      </c>
      <c r="C728" s="44">
        <v>1</v>
      </c>
      <c r="D728" s="44" t="s">
        <v>1321</v>
      </c>
      <c r="E728" s="48" t="s">
        <v>1322</v>
      </c>
      <c r="F728" s="44" t="s">
        <v>109</v>
      </c>
      <c r="G728" s="44"/>
      <c r="H728" s="44" t="s">
        <v>468</v>
      </c>
      <c r="I728" s="44" t="s">
        <v>468</v>
      </c>
      <c r="J728" s="44">
        <v>1</v>
      </c>
      <c r="K728" s="44"/>
      <c r="L728" s="44"/>
      <c r="M728" s="47"/>
      <c r="N728" s="34" t="s">
        <v>1193</v>
      </c>
    </row>
    <row r="729" ht="18.75" spans="2:14">
      <c r="B729" s="28">
        <f t="shared" si="13"/>
        <v>7547</v>
      </c>
      <c r="C729" s="55">
        <v>1</v>
      </c>
      <c r="D729" s="28" t="s">
        <v>1323</v>
      </c>
      <c r="E729" s="41" t="s">
        <v>1324</v>
      </c>
      <c r="F729" s="28" t="s">
        <v>109</v>
      </c>
      <c r="G729" s="28"/>
      <c r="H729" s="28" t="s">
        <v>182</v>
      </c>
      <c r="I729" s="28" t="s">
        <v>172</v>
      </c>
      <c r="J729" s="28">
        <v>0.1</v>
      </c>
      <c r="K729" s="28"/>
      <c r="L729" s="28"/>
      <c r="M729" s="46"/>
    </row>
    <row r="730" ht="18.75" spans="2:14">
      <c r="B730" s="28">
        <f t="shared" si="13"/>
        <v>7548</v>
      </c>
      <c r="C730" s="55">
        <v>1</v>
      </c>
      <c r="D730" s="28" t="s">
        <v>1325</v>
      </c>
      <c r="E730" s="41" t="s">
        <v>1326</v>
      </c>
      <c r="F730" s="28" t="s">
        <v>109</v>
      </c>
      <c r="G730" s="28"/>
      <c r="H730" s="28" t="s">
        <v>182</v>
      </c>
      <c r="I730" s="28" t="s">
        <v>172</v>
      </c>
      <c r="J730" s="28">
        <v>0.1</v>
      </c>
      <c r="K730" s="28"/>
      <c r="L730" s="28"/>
      <c r="M730" s="46"/>
    </row>
    <row r="731" ht="18.75" spans="2:14">
      <c r="B731" s="28">
        <f t="shared" si="13"/>
        <v>7549</v>
      </c>
      <c r="C731" s="55">
        <v>1</v>
      </c>
      <c r="D731" s="28" t="s">
        <v>1327</v>
      </c>
      <c r="E731" s="41" t="s">
        <v>1328</v>
      </c>
      <c r="F731" s="28" t="s">
        <v>109</v>
      </c>
      <c r="G731" s="28"/>
      <c r="H731" s="28" t="s">
        <v>182</v>
      </c>
      <c r="I731" s="28" t="s">
        <v>172</v>
      </c>
      <c r="J731" s="28">
        <v>1</v>
      </c>
      <c r="K731" s="28"/>
      <c r="L731" s="28"/>
      <c r="M731" s="46"/>
    </row>
    <row r="732" ht="18.75" spans="2:14">
      <c r="B732" s="28">
        <f t="shared" si="13"/>
        <v>7550</v>
      </c>
      <c r="C732" s="55">
        <v>1</v>
      </c>
      <c r="D732" s="28" t="s">
        <v>1329</v>
      </c>
      <c r="E732" s="41" t="s">
        <v>1330</v>
      </c>
      <c r="F732" s="28" t="s">
        <v>109</v>
      </c>
      <c r="G732" s="28"/>
      <c r="H732" s="28" t="s">
        <v>182</v>
      </c>
      <c r="I732" s="28" t="s">
        <v>172</v>
      </c>
      <c r="J732" s="28">
        <v>1</v>
      </c>
      <c r="K732" s="28"/>
      <c r="L732" s="28"/>
      <c r="M732" s="46"/>
    </row>
    <row r="733" s="34" customFormat="1" ht="18.75" spans="2:14">
      <c r="B733" s="44">
        <f t="shared" si="13"/>
        <v>7551</v>
      </c>
      <c r="C733" s="44">
        <v>1</v>
      </c>
      <c r="D733" s="44" t="s">
        <v>1331</v>
      </c>
      <c r="E733" s="48" t="s">
        <v>1332</v>
      </c>
      <c r="F733" s="44" t="s">
        <v>109</v>
      </c>
      <c r="G733" s="44"/>
      <c r="H733" s="44" t="s">
        <v>468</v>
      </c>
      <c r="I733" s="44" t="s">
        <v>468</v>
      </c>
      <c r="J733" s="44">
        <v>1</v>
      </c>
      <c r="K733" s="44"/>
      <c r="L733" s="44"/>
      <c r="M733" s="47"/>
      <c r="N733" s="34" t="s">
        <v>1193</v>
      </c>
    </row>
    <row r="734" s="34" customFormat="1" ht="18.75" spans="2:14">
      <c r="B734" s="44">
        <f t="shared" si="13"/>
        <v>7552</v>
      </c>
      <c r="C734" s="44">
        <v>1</v>
      </c>
      <c r="D734" s="44" t="s">
        <v>1333</v>
      </c>
      <c r="E734" s="48" t="s">
        <v>1334</v>
      </c>
      <c r="F734" s="44" t="s">
        <v>109</v>
      </c>
      <c r="G734" s="44"/>
      <c r="H734" s="44" t="s">
        <v>468</v>
      </c>
      <c r="I734" s="44" t="s">
        <v>468</v>
      </c>
      <c r="J734" s="44">
        <v>1</v>
      </c>
      <c r="K734" s="44"/>
      <c r="L734" s="44"/>
      <c r="M734" s="47"/>
      <c r="N734" s="34" t="s">
        <v>1193</v>
      </c>
    </row>
    <row r="735" s="34" customFormat="1" ht="18.75" spans="2:14">
      <c r="B735" s="44">
        <f t="shared" si="13"/>
        <v>7553</v>
      </c>
      <c r="C735" s="44">
        <v>1</v>
      </c>
      <c r="D735" s="44" t="s">
        <v>1335</v>
      </c>
      <c r="E735" s="48" t="s">
        <v>1336</v>
      </c>
      <c r="F735" s="44" t="s">
        <v>109</v>
      </c>
      <c r="G735" s="44"/>
      <c r="H735" s="44" t="s">
        <v>468</v>
      </c>
      <c r="I735" s="44" t="s">
        <v>468</v>
      </c>
      <c r="J735" s="44">
        <v>1</v>
      </c>
      <c r="K735" s="44"/>
      <c r="L735" s="44"/>
      <c r="M735" s="47"/>
      <c r="N735" s="34" t="s">
        <v>1193</v>
      </c>
    </row>
    <row r="736" s="34" customFormat="1" ht="18.75" spans="2:14">
      <c r="B736" s="44">
        <f t="shared" si="13"/>
        <v>7554</v>
      </c>
      <c r="C736" s="44">
        <v>1</v>
      </c>
      <c r="D736" s="44" t="s">
        <v>1337</v>
      </c>
      <c r="E736" s="48" t="s">
        <v>1338</v>
      </c>
      <c r="F736" s="44" t="s">
        <v>109</v>
      </c>
      <c r="G736" s="44"/>
      <c r="H736" s="44" t="s">
        <v>468</v>
      </c>
      <c r="I736" s="44" t="s">
        <v>468</v>
      </c>
      <c r="J736" s="44">
        <v>1</v>
      </c>
      <c r="K736" s="44"/>
      <c r="L736" s="44"/>
      <c r="M736" s="47"/>
      <c r="N736" s="34" t="s">
        <v>1193</v>
      </c>
    </row>
    <row r="737" s="34" customFormat="1" ht="18.75" spans="2:14">
      <c r="B737" s="44">
        <f t="shared" si="13"/>
        <v>7555</v>
      </c>
      <c r="C737" s="44">
        <v>2</v>
      </c>
      <c r="D737" s="44" t="s">
        <v>1339</v>
      </c>
      <c r="E737" s="48" t="s">
        <v>1340</v>
      </c>
      <c r="F737" s="62" t="s">
        <v>109</v>
      </c>
      <c r="G737" s="62"/>
      <c r="H737" s="44" t="s">
        <v>179</v>
      </c>
      <c r="I737" s="44" t="s">
        <v>179</v>
      </c>
      <c r="J737" s="44">
        <v>1</v>
      </c>
      <c r="K737" s="62"/>
      <c r="L737" s="62"/>
      <c r="M737" s="63"/>
      <c r="N737" s="34" t="s">
        <v>1193</v>
      </c>
    </row>
    <row r="738" ht="18.75" spans="2:14">
      <c r="B738" s="28">
        <f t="shared" si="13"/>
        <v>7557</v>
      </c>
      <c r="C738" s="28">
        <v>1</v>
      </c>
      <c r="D738" s="28" t="s">
        <v>1341</v>
      </c>
      <c r="E738" s="41" t="s">
        <v>1342</v>
      </c>
      <c r="F738" s="28" t="s">
        <v>109</v>
      </c>
      <c r="G738" s="28"/>
      <c r="H738" s="28" t="s">
        <v>182</v>
      </c>
      <c r="I738" s="28" t="s">
        <v>172</v>
      </c>
      <c r="J738" s="28">
        <v>0.1</v>
      </c>
      <c r="K738" s="28"/>
      <c r="L738" s="28"/>
      <c r="M738" s="46"/>
    </row>
    <row r="739" ht="18.75" spans="2:14">
      <c r="B739" s="28">
        <f t="shared" si="13"/>
        <v>7558</v>
      </c>
      <c r="C739" s="28">
        <v>1</v>
      </c>
      <c r="D739" s="28" t="s">
        <v>1343</v>
      </c>
      <c r="E739" s="41" t="s">
        <v>1344</v>
      </c>
      <c r="F739" s="28" t="s">
        <v>109</v>
      </c>
      <c r="G739" s="28"/>
      <c r="H739" s="28" t="s">
        <v>182</v>
      </c>
      <c r="I739" s="28" t="s">
        <v>172</v>
      </c>
      <c r="J739" s="28">
        <v>0.1</v>
      </c>
      <c r="K739" s="28"/>
      <c r="L739" s="28"/>
      <c r="M739" s="46"/>
    </row>
    <row r="740" ht="18.75" spans="2:14">
      <c r="B740" s="28">
        <f t="shared" si="13"/>
        <v>7559</v>
      </c>
      <c r="C740" s="28">
        <v>1</v>
      </c>
      <c r="D740" s="28" t="s">
        <v>1345</v>
      </c>
      <c r="E740" s="41" t="s">
        <v>657</v>
      </c>
      <c r="F740" s="28" t="s">
        <v>109</v>
      </c>
      <c r="G740" s="28"/>
      <c r="H740" s="28" t="s">
        <v>182</v>
      </c>
      <c r="I740" s="28" t="s">
        <v>172</v>
      </c>
      <c r="J740" s="28">
        <v>0.1</v>
      </c>
      <c r="K740" s="28"/>
      <c r="L740" s="28"/>
      <c r="M740" s="46"/>
    </row>
    <row r="741" ht="18.75" spans="2:14">
      <c r="B741" s="28">
        <f t="shared" si="13"/>
        <v>7560</v>
      </c>
      <c r="C741" s="28">
        <v>1</v>
      </c>
      <c r="D741" s="28" t="s">
        <v>1346</v>
      </c>
      <c r="E741" s="41" t="s">
        <v>660</v>
      </c>
      <c r="F741" s="28" t="s">
        <v>109</v>
      </c>
      <c r="G741" s="28"/>
      <c r="H741" s="28" t="s">
        <v>182</v>
      </c>
      <c r="I741" s="28" t="s">
        <v>172</v>
      </c>
      <c r="J741" s="28">
        <v>0.1</v>
      </c>
      <c r="K741" s="28"/>
      <c r="L741" s="28"/>
      <c r="M741" s="46"/>
    </row>
    <row r="742" ht="18.75" spans="2:14">
      <c r="B742" s="28">
        <f t="shared" si="13"/>
        <v>7561</v>
      </c>
      <c r="C742" s="28">
        <v>1</v>
      </c>
      <c r="D742" s="28" t="s">
        <v>1347</v>
      </c>
      <c r="E742" s="41" t="s">
        <v>1348</v>
      </c>
      <c r="F742" s="28" t="s">
        <v>109</v>
      </c>
      <c r="G742" s="28"/>
      <c r="H742" s="28" t="s">
        <v>172</v>
      </c>
      <c r="I742" s="28" t="s">
        <v>172</v>
      </c>
      <c r="J742" s="28">
        <v>1</v>
      </c>
      <c r="K742" s="28"/>
      <c r="L742" s="28"/>
      <c r="M742" s="46"/>
    </row>
    <row r="743" ht="18.75" spans="2:14">
      <c r="B743" s="28">
        <f t="shared" si="13"/>
        <v>7562</v>
      </c>
      <c r="C743" s="28">
        <v>1</v>
      </c>
      <c r="D743" s="28" t="s">
        <v>1349</v>
      </c>
      <c r="E743" s="41" t="s">
        <v>1350</v>
      </c>
      <c r="F743" s="28" t="s">
        <v>109</v>
      </c>
      <c r="G743" s="28"/>
      <c r="H743" s="28" t="s">
        <v>172</v>
      </c>
      <c r="I743" s="28" t="s">
        <v>172</v>
      </c>
      <c r="J743" s="28">
        <v>1</v>
      </c>
      <c r="K743" s="28"/>
      <c r="L743" s="28"/>
      <c r="M743" s="46"/>
    </row>
    <row r="744" s="34" customFormat="1" ht="37.5" spans="2:14">
      <c r="B744" s="44">
        <f t="shared" si="13"/>
        <v>7563</v>
      </c>
      <c r="C744" s="44">
        <v>1</v>
      </c>
      <c r="D744" s="44" t="s">
        <v>1351</v>
      </c>
      <c r="E744" s="48" t="s">
        <v>1352</v>
      </c>
      <c r="F744" s="44" t="s">
        <v>109</v>
      </c>
      <c r="G744" s="44"/>
      <c r="H744" s="44" t="s">
        <v>468</v>
      </c>
      <c r="I744" s="44" t="s">
        <v>468</v>
      </c>
      <c r="J744" s="44">
        <v>1</v>
      </c>
      <c r="K744" s="44"/>
      <c r="L744" s="44"/>
      <c r="M744" s="47"/>
      <c r="N744" s="34" t="s">
        <v>1193</v>
      </c>
    </row>
    <row r="745" s="34" customFormat="1" ht="37.5" spans="2:14">
      <c r="B745" s="44">
        <f t="shared" si="13"/>
        <v>7564</v>
      </c>
      <c r="C745" s="44">
        <v>1</v>
      </c>
      <c r="D745" s="44" t="s">
        <v>1353</v>
      </c>
      <c r="E745" s="48" t="s">
        <v>1354</v>
      </c>
      <c r="F745" s="44" t="s">
        <v>109</v>
      </c>
      <c r="G745" s="44"/>
      <c r="H745" s="44" t="s">
        <v>468</v>
      </c>
      <c r="I745" s="44" t="s">
        <v>468</v>
      </c>
      <c r="J745" s="44">
        <v>1</v>
      </c>
      <c r="K745" s="44"/>
      <c r="L745" s="44"/>
      <c r="M745" s="47"/>
      <c r="N745" s="34" t="s">
        <v>1193</v>
      </c>
    </row>
    <row r="746" s="34" customFormat="1" ht="37.5" spans="2:14">
      <c r="B746" s="44">
        <f t="shared" si="13"/>
        <v>7565</v>
      </c>
      <c r="C746" s="44">
        <v>1</v>
      </c>
      <c r="D746" s="44" t="s">
        <v>1355</v>
      </c>
      <c r="E746" s="48" t="s">
        <v>1356</v>
      </c>
      <c r="F746" s="44" t="s">
        <v>109</v>
      </c>
      <c r="G746" s="44"/>
      <c r="H746" s="44" t="s">
        <v>468</v>
      </c>
      <c r="I746" s="44" t="s">
        <v>468</v>
      </c>
      <c r="J746" s="44">
        <v>1</v>
      </c>
      <c r="K746" s="44"/>
      <c r="L746" s="44"/>
      <c r="M746" s="47"/>
      <c r="N746" s="34" t="s">
        <v>1193</v>
      </c>
    </row>
    <row r="747" s="34" customFormat="1" ht="37.5" spans="2:14">
      <c r="B747" s="44">
        <f t="shared" si="13"/>
        <v>7566</v>
      </c>
      <c r="C747" s="44">
        <v>1</v>
      </c>
      <c r="D747" s="44" t="s">
        <v>1357</v>
      </c>
      <c r="E747" s="48" t="s">
        <v>1358</v>
      </c>
      <c r="F747" s="44" t="s">
        <v>109</v>
      </c>
      <c r="G747" s="44"/>
      <c r="H747" s="44" t="s">
        <v>468</v>
      </c>
      <c r="I747" s="44" t="s">
        <v>468</v>
      </c>
      <c r="J747" s="44">
        <v>1</v>
      </c>
      <c r="K747" s="44"/>
      <c r="L747" s="44"/>
      <c r="M747" s="47"/>
      <c r="N747" s="34" t="s">
        <v>1193</v>
      </c>
    </row>
    <row r="748" ht="18.75" spans="2:14">
      <c r="B748" s="28">
        <f t="shared" si="13"/>
        <v>7567</v>
      </c>
      <c r="C748" s="28">
        <v>2</v>
      </c>
      <c r="D748" s="28" t="s">
        <v>1359</v>
      </c>
      <c r="E748" s="41" t="s">
        <v>1360</v>
      </c>
      <c r="F748" s="28" t="s">
        <v>109</v>
      </c>
      <c r="G748" s="28"/>
      <c r="H748" s="28" t="s">
        <v>179</v>
      </c>
      <c r="I748" s="28" t="s">
        <v>179</v>
      </c>
      <c r="J748" s="28">
        <v>0.1</v>
      </c>
      <c r="K748" s="28"/>
      <c r="L748" s="28"/>
      <c r="M748" s="46"/>
    </row>
    <row r="749" ht="18.75" spans="2:14">
      <c r="B749" s="28">
        <f t="shared" si="13"/>
        <v>7569</v>
      </c>
      <c r="C749" s="28">
        <v>2</v>
      </c>
      <c r="D749" s="28" t="s">
        <v>1361</v>
      </c>
      <c r="E749" s="41" t="s">
        <v>1362</v>
      </c>
      <c r="F749" s="28" t="s">
        <v>109</v>
      </c>
      <c r="G749" s="28"/>
      <c r="H749" s="28" t="s">
        <v>179</v>
      </c>
      <c r="I749" s="28" t="s">
        <v>179</v>
      </c>
      <c r="J749" s="28">
        <v>0.1</v>
      </c>
      <c r="K749" s="28"/>
      <c r="L749" s="28"/>
      <c r="M749" s="46"/>
    </row>
    <row r="750" s="34" customFormat="1" ht="18.75" spans="2:14">
      <c r="B750" s="44">
        <f t="shared" si="13"/>
        <v>7571</v>
      </c>
      <c r="C750" s="44">
        <v>1</v>
      </c>
      <c r="D750" s="44" t="s">
        <v>1363</v>
      </c>
      <c r="E750" s="48" t="s">
        <v>1364</v>
      </c>
      <c r="F750" s="44" t="s">
        <v>109</v>
      </c>
      <c r="G750" s="62"/>
      <c r="H750" s="44" t="s">
        <v>172</v>
      </c>
      <c r="I750" s="44" t="s">
        <v>172</v>
      </c>
      <c r="J750" s="44">
        <v>1</v>
      </c>
      <c r="K750" s="62"/>
      <c r="L750" s="62"/>
      <c r="M750" s="63"/>
      <c r="N750" s="34" t="s">
        <v>1193</v>
      </c>
    </row>
    <row r="751" s="34" customFormat="1" ht="18.75" spans="2:14">
      <c r="B751" s="44">
        <f t="shared" si="13"/>
        <v>7572</v>
      </c>
      <c r="C751" s="44">
        <v>64</v>
      </c>
      <c r="D751" s="44" t="s">
        <v>1365</v>
      </c>
      <c r="E751" s="48" t="s">
        <v>951</v>
      </c>
      <c r="F751" s="44" t="s">
        <v>109</v>
      </c>
      <c r="G751" s="44"/>
      <c r="H751" s="44" t="s">
        <v>454</v>
      </c>
      <c r="I751" s="44" t="s">
        <v>454</v>
      </c>
      <c r="J751" s="44">
        <v>1</v>
      </c>
      <c r="K751" s="44"/>
      <c r="L751" s="44"/>
      <c r="M751" s="47"/>
      <c r="N751" s="34" t="s">
        <v>1366</v>
      </c>
    </row>
    <row r="752" s="34" customFormat="1" ht="18.75" spans="2:14">
      <c r="B752" s="44">
        <f t="shared" si="13"/>
        <v>7636</v>
      </c>
      <c r="C752" s="44">
        <v>1</v>
      </c>
      <c r="D752" s="44" t="s">
        <v>1367</v>
      </c>
      <c r="E752" s="48" t="s">
        <v>1368</v>
      </c>
      <c r="F752" s="44" t="s">
        <v>109</v>
      </c>
      <c r="G752" s="44"/>
      <c r="H752" s="44" t="s">
        <v>182</v>
      </c>
      <c r="I752" s="44" t="s">
        <v>172</v>
      </c>
      <c r="J752" s="44">
        <v>0.1</v>
      </c>
      <c r="K752" s="44"/>
      <c r="L752" s="44"/>
      <c r="M752" s="47"/>
      <c r="N752" s="34" t="s">
        <v>1193</v>
      </c>
    </row>
    <row r="753" s="34" customFormat="1" ht="18.75" spans="2:14">
      <c r="B753" s="44">
        <f t="shared" si="13"/>
        <v>7637</v>
      </c>
      <c r="C753" s="44">
        <v>1</v>
      </c>
      <c r="D753" s="44" t="s">
        <v>1369</v>
      </c>
      <c r="E753" s="48" t="s">
        <v>1370</v>
      </c>
      <c r="F753" s="44" t="s">
        <v>109</v>
      </c>
      <c r="G753" s="44"/>
      <c r="H753" s="44" t="s">
        <v>182</v>
      </c>
      <c r="I753" s="44" t="s">
        <v>172</v>
      </c>
      <c r="J753" s="44">
        <v>0.1</v>
      </c>
      <c r="K753" s="44"/>
      <c r="L753" s="44"/>
      <c r="M753" s="47"/>
      <c r="N753" s="34" t="s">
        <v>1193</v>
      </c>
    </row>
    <row r="754" s="34" customFormat="1" ht="18.75" spans="2:14">
      <c r="B754" s="44">
        <f t="shared" si="13"/>
        <v>7638</v>
      </c>
      <c r="C754" s="44">
        <v>1</v>
      </c>
      <c r="D754" s="44" t="s">
        <v>1371</v>
      </c>
      <c r="E754" s="48" t="s">
        <v>1372</v>
      </c>
      <c r="F754" s="44" t="s">
        <v>109</v>
      </c>
      <c r="G754" s="44"/>
      <c r="H754" s="44" t="s">
        <v>182</v>
      </c>
      <c r="I754" s="44" t="s">
        <v>172</v>
      </c>
      <c r="J754" s="44">
        <v>0.1</v>
      </c>
      <c r="K754" s="44"/>
      <c r="L754" s="44"/>
      <c r="M754" s="47"/>
      <c r="N754" s="34" t="s">
        <v>1193</v>
      </c>
    </row>
    <row r="755" ht="18.75" spans="2:14">
      <c r="B755" s="28">
        <f t="shared" si="13"/>
        <v>7639</v>
      </c>
      <c r="C755" s="24">
        <v>1</v>
      </c>
      <c r="D755" s="24" t="s">
        <v>1373</v>
      </c>
      <c r="E755" s="24" t="s">
        <v>1374</v>
      </c>
      <c r="F755" s="28" t="s">
        <v>109</v>
      </c>
      <c r="G755" s="24"/>
      <c r="H755" s="24" t="s">
        <v>172</v>
      </c>
      <c r="I755" s="28" t="s">
        <v>172</v>
      </c>
      <c r="J755" s="24">
        <v>1</v>
      </c>
      <c r="K755" s="24"/>
      <c r="L755" s="28"/>
      <c r="M755" s="46"/>
    </row>
    <row r="756" s="34" customFormat="1" ht="18.75" spans="2:14">
      <c r="B756" s="44">
        <f t="shared" si="13"/>
        <v>7640</v>
      </c>
      <c r="C756" s="64">
        <v>1</v>
      </c>
      <c r="D756" s="64" t="s">
        <v>1375</v>
      </c>
      <c r="E756" s="65" t="s">
        <v>1376</v>
      </c>
      <c r="F756" s="44" t="s">
        <v>109</v>
      </c>
      <c r="G756" s="64"/>
      <c r="H756" s="64" t="s">
        <v>172</v>
      </c>
      <c r="I756" s="44" t="s">
        <v>172</v>
      </c>
      <c r="J756" s="64">
        <v>1</v>
      </c>
      <c r="K756" s="64"/>
      <c r="L756" s="44"/>
      <c r="M756" s="47"/>
      <c r="N756" s="34" t="s">
        <v>1377</v>
      </c>
    </row>
    <row r="757" ht="18.75" spans="2:14">
      <c r="B757" s="39" t="s">
        <v>1378</v>
      </c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6"/>
    </row>
    <row r="758" ht="18.75" spans="2:14">
      <c r="B758" s="28">
        <v>23680</v>
      </c>
      <c r="C758" s="25">
        <v>1</v>
      </c>
      <c r="D758" s="25" t="s">
        <v>887</v>
      </c>
      <c r="E758" s="25" t="s">
        <v>1379</v>
      </c>
      <c r="F758" s="25" t="s">
        <v>109</v>
      </c>
      <c r="G758" s="25" t="s">
        <v>256</v>
      </c>
      <c r="H758" s="24" t="s">
        <v>182</v>
      </c>
      <c r="I758" s="28" t="s">
        <v>468</v>
      </c>
      <c r="J758" s="25">
        <v>0.1</v>
      </c>
      <c r="K758" s="25"/>
      <c r="L758" s="25"/>
      <c r="M758" s="46"/>
    </row>
    <row r="759" ht="18.75" spans="2:14">
      <c r="B759" s="28">
        <f t="shared" ref="B759:B822" si="14">B758+C758</f>
        <v>23681</v>
      </c>
      <c r="C759" s="28">
        <v>1</v>
      </c>
      <c r="D759" s="28" t="s">
        <v>1380</v>
      </c>
      <c r="E759" s="41" t="s">
        <v>1381</v>
      </c>
      <c r="F759" s="25" t="s">
        <v>109</v>
      </c>
      <c r="G759" s="25" t="s">
        <v>263</v>
      </c>
      <c r="H759" s="24" t="s">
        <v>182</v>
      </c>
      <c r="I759" s="28" t="s">
        <v>468</v>
      </c>
      <c r="J759" s="28">
        <v>0.1</v>
      </c>
      <c r="K759" s="28"/>
      <c r="L759" s="28"/>
      <c r="M759" s="46"/>
    </row>
    <row r="760" ht="18.75" spans="2:14">
      <c r="B760" s="28">
        <f t="shared" si="14"/>
        <v>23682</v>
      </c>
      <c r="C760" s="28">
        <v>1</v>
      </c>
      <c r="D760" s="28" t="s">
        <v>1382</v>
      </c>
      <c r="E760" s="41" t="s">
        <v>1383</v>
      </c>
      <c r="F760" s="25" t="s">
        <v>109</v>
      </c>
      <c r="G760" s="25" t="s">
        <v>149</v>
      </c>
      <c r="H760" s="24" t="s">
        <v>182</v>
      </c>
      <c r="I760" s="28" t="s">
        <v>468</v>
      </c>
      <c r="J760" s="28">
        <v>0.1</v>
      </c>
      <c r="K760" s="28"/>
      <c r="L760" s="41"/>
      <c r="M760" s="46"/>
    </row>
    <row r="761" ht="18.75" spans="2:14">
      <c r="B761" s="28">
        <f t="shared" si="14"/>
        <v>23683</v>
      </c>
      <c r="C761" s="28">
        <v>1</v>
      </c>
      <c r="D761" s="28" t="s">
        <v>1384</v>
      </c>
      <c r="E761" s="41" t="s">
        <v>1385</v>
      </c>
      <c r="F761" s="25" t="s">
        <v>109</v>
      </c>
      <c r="G761" s="25" t="s">
        <v>149</v>
      </c>
      <c r="H761" s="24" t="s">
        <v>182</v>
      </c>
      <c r="I761" s="28" t="s">
        <v>468</v>
      </c>
      <c r="J761" s="28">
        <v>0.1</v>
      </c>
      <c r="K761" s="28"/>
      <c r="L761" s="41"/>
      <c r="M761" s="46"/>
    </row>
    <row r="762" ht="18.75" spans="2:14">
      <c r="B762" s="28">
        <f t="shared" si="14"/>
        <v>23684</v>
      </c>
      <c r="C762" s="28">
        <v>1</v>
      </c>
      <c r="D762" s="28" t="s">
        <v>1386</v>
      </c>
      <c r="E762" s="41" t="s">
        <v>1387</v>
      </c>
      <c r="F762" s="25" t="s">
        <v>109</v>
      </c>
      <c r="G762" s="25" t="s">
        <v>149</v>
      </c>
      <c r="H762" s="24" t="s">
        <v>182</v>
      </c>
      <c r="I762" s="28" t="s">
        <v>468</v>
      </c>
      <c r="J762" s="28">
        <v>0.1</v>
      </c>
      <c r="K762" s="28"/>
      <c r="L762" s="41"/>
      <c r="M762" s="46"/>
    </row>
    <row r="763" ht="18.75" spans="2:14">
      <c r="B763" s="28">
        <f t="shared" si="14"/>
        <v>23685</v>
      </c>
      <c r="C763" s="28">
        <v>1</v>
      </c>
      <c r="D763" s="28" t="s">
        <v>1388</v>
      </c>
      <c r="E763" s="41" t="s">
        <v>1389</v>
      </c>
      <c r="F763" s="25" t="s">
        <v>109</v>
      </c>
      <c r="G763" s="25"/>
      <c r="H763" s="24" t="s">
        <v>230</v>
      </c>
      <c r="I763" s="24" t="s">
        <v>230</v>
      </c>
      <c r="J763" s="28">
        <v>1</v>
      </c>
      <c r="K763" s="28"/>
      <c r="L763" s="41"/>
      <c r="M763" s="46"/>
    </row>
    <row r="764" ht="18.75" spans="2:14">
      <c r="B764" s="28">
        <f t="shared" si="14"/>
        <v>23686</v>
      </c>
      <c r="C764" s="28">
        <v>1</v>
      </c>
      <c r="D764" s="28" t="s">
        <v>889</v>
      </c>
      <c r="E764" s="41" t="s">
        <v>1390</v>
      </c>
      <c r="F764" s="25" t="s">
        <v>109</v>
      </c>
      <c r="G764" s="25" t="s">
        <v>263</v>
      </c>
      <c r="H764" s="24" t="s">
        <v>182</v>
      </c>
      <c r="I764" s="28" t="s">
        <v>468</v>
      </c>
      <c r="J764" s="28">
        <v>0.1</v>
      </c>
      <c r="K764" s="28"/>
      <c r="L764" s="41"/>
      <c r="M764" s="46"/>
    </row>
    <row r="765" ht="18.75" spans="2:14">
      <c r="B765" s="28">
        <f t="shared" si="14"/>
        <v>23687</v>
      </c>
      <c r="C765" s="28">
        <v>1</v>
      </c>
      <c r="D765" s="28" t="s">
        <v>891</v>
      </c>
      <c r="E765" s="41" t="s">
        <v>1391</v>
      </c>
      <c r="F765" s="25" t="s">
        <v>109</v>
      </c>
      <c r="G765" s="25" t="s">
        <v>263</v>
      </c>
      <c r="H765" s="24" t="s">
        <v>182</v>
      </c>
      <c r="I765" s="28" t="s">
        <v>468</v>
      </c>
      <c r="J765" s="28">
        <v>0.1</v>
      </c>
      <c r="K765" s="28"/>
      <c r="L765" s="41"/>
      <c r="M765" s="46"/>
    </row>
    <row r="766" ht="18.75" spans="2:14">
      <c r="B766" s="28">
        <f t="shared" si="14"/>
        <v>23688</v>
      </c>
      <c r="C766" s="28">
        <v>1</v>
      </c>
      <c r="D766" s="28" t="s">
        <v>107</v>
      </c>
      <c r="E766" s="41" t="s">
        <v>1392</v>
      </c>
      <c r="F766" s="25" t="s">
        <v>109</v>
      </c>
      <c r="G766" s="28"/>
      <c r="H766" s="24" t="s">
        <v>230</v>
      </c>
      <c r="I766" s="24" t="s">
        <v>230</v>
      </c>
      <c r="J766" s="28">
        <v>1</v>
      </c>
      <c r="K766" s="28"/>
      <c r="L766" s="28" t="s">
        <v>1393</v>
      </c>
      <c r="M766" s="46"/>
    </row>
    <row r="767" ht="18.75" spans="2:14">
      <c r="B767" s="28">
        <f t="shared" si="14"/>
        <v>23689</v>
      </c>
      <c r="C767" s="28">
        <v>1</v>
      </c>
      <c r="D767" s="28" t="s">
        <v>1394</v>
      </c>
      <c r="E767" s="41" t="s">
        <v>1395</v>
      </c>
      <c r="F767" s="25" t="s">
        <v>109</v>
      </c>
      <c r="G767" s="28"/>
      <c r="H767" s="24" t="s">
        <v>230</v>
      </c>
      <c r="I767" s="24" t="s">
        <v>230</v>
      </c>
      <c r="J767" s="28">
        <v>1</v>
      </c>
      <c r="K767" s="28"/>
      <c r="L767" s="28" t="s">
        <v>1396</v>
      </c>
      <c r="M767" s="46"/>
    </row>
    <row r="768" ht="150" spans="2:14">
      <c r="B768" s="28">
        <f t="shared" si="14"/>
        <v>23690</v>
      </c>
      <c r="C768" s="28">
        <v>1</v>
      </c>
      <c r="D768" s="28" t="s">
        <v>1397</v>
      </c>
      <c r="E768" s="41" t="s">
        <v>1398</v>
      </c>
      <c r="F768" s="25" t="s">
        <v>109</v>
      </c>
      <c r="G768" s="28"/>
      <c r="H768" s="24" t="s">
        <v>230</v>
      </c>
      <c r="I768" s="24" t="s">
        <v>230</v>
      </c>
      <c r="J768" s="28">
        <v>1</v>
      </c>
      <c r="K768" s="28"/>
      <c r="L768" s="41" t="s">
        <v>1399</v>
      </c>
      <c r="M768" s="46"/>
    </row>
    <row r="769" ht="75" spans="2:13">
      <c r="B769" s="28">
        <f t="shared" si="14"/>
        <v>23691</v>
      </c>
      <c r="C769" s="28">
        <v>1</v>
      </c>
      <c r="D769" s="28" t="s">
        <v>1400</v>
      </c>
      <c r="E769" s="41" t="s">
        <v>1401</v>
      </c>
      <c r="F769" s="25" t="s">
        <v>109</v>
      </c>
      <c r="G769" s="28"/>
      <c r="H769" s="24" t="s">
        <v>230</v>
      </c>
      <c r="I769" s="24" t="s">
        <v>230</v>
      </c>
      <c r="J769" s="28">
        <v>1</v>
      </c>
      <c r="K769" s="28"/>
      <c r="L769" s="41" t="s">
        <v>1402</v>
      </c>
      <c r="M769" s="46"/>
    </row>
    <row r="770" ht="18.75" spans="2:13">
      <c r="B770" s="28">
        <f t="shared" si="14"/>
        <v>23692</v>
      </c>
      <c r="C770" s="28">
        <v>1</v>
      </c>
      <c r="D770" s="28" t="s">
        <v>1403</v>
      </c>
      <c r="E770" s="41" t="s">
        <v>1404</v>
      </c>
      <c r="F770" s="25" t="s">
        <v>109</v>
      </c>
      <c r="G770" s="25" t="s">
        <v>256</v>
      </c>
      <c r="H770" s="24" t="s">
        <v>182</v>
      </c>
      <c r="I770" s="28" t="s">
        <v>468</v>
      </c>
      <c r="J770" s="28">
        <v>0.1</v>
      </c>
      <c r="K770" s="28"/>
      <c r="L770" s="41"/>
      <c r="M770" s="46"/>
    </row>
    <row r="771" ht="18.75" spans="2:13">
      <c r="B771" s="28">
        <f t="shared" si="14"/>
        <v>23693</v>
      </c>
      <c r="C771" s="28">
        <v>1</v>
      </c>
      <c r="D771" s="28" t="s">
        <v>1405</v>
      </c>
      <c r="E771" s="41" t="s">
        <v>1406</v>
      </c>
      <c r="F771" s="25" t="s">
        <v>109</v>
      </c>
      <c r="G771" s="25" t="s">
        <v>256</v>
      </c>
      <c r="H771" s="24" t="s">
        <v>182</v>
      </c>
      <c r="I771" s="28" t="s">
        <v>468</v>
      </c>
      <c r="J771" s="28">
        <v>0.1</v>
      </c>
      <c r="K771" s="28"/>
      <c r="L771" s="41"/>
      <c r="M771" s="46"/>
    </row>
    <row r="772" ht="18.75" spans="2:13">
      <c r="B772" s="28">
        <f t="shared" si="14"/>
        <v>23694</v>
      </c>
      <c r="C772" s="28">
        <v>1</v>
      </c>
      <c r="D772" s="28" t="s">
        <v>1407</v>
      </c>
      <c r="E772" s="41" t="s">
        <v>1408</v>
      </c>
      <c r="F772" s="25" t="s">
        <v>109</v>
      </c>
      <c r="G772" s="25" t="s">
        <v>256</v>
      </c>
      <c r="H772" s="24" t="s">
        <v>182</v>
      </c>
      <c r="I772" s="28" t="s">
        <v>468</v>
      </c>
      <c r="J772" s="28">
        <v>0.1</v>
      </c>
      <c r="K772" s="28"/>
      <c r="L772" s="41"/>
      <c r="M772" s="46"/>
    </row>
    <row r="773" ht="18.75" spans="2:13">
      <c r="B773" s="28">
        <f t="shared" si="14"/>
        <v>23695</v>
      </c>
      <c r="C773" s="28">
        <v>1</v>
      </c>
      <c r="D773" s="28" t="s">
        <v>1409</v>
      </c>
      <c r="E773" s="41" t="s">
        <v>1410</v>
      </c>
      <c r="F773" s="25" t="s">
        <v>109</v>
      </c>
      <c r="G773" s="25" t="s">
        <v>256</v>
      </c>
      <c r="H773" s="24" t="s">
        <v>182</v>
      </c>
      <c r="I773" s="28" t="s">
        <v>468</v>
      </c>
      <c r="J773" s="28">
        <v>0.1</v>
      </c>
      <c r="K773" s="28"/>
      <c r="L773" s="41"/>
      <c r="M773" s="46"/>
    </row>
    <row r="774" ht="18.75" spans="2:13">
      <c r="B774" s="28">
        <f t="shared" si="14"/>
        <v>23696</v>
      </c>
      <c r="C774" s="28">
        <v>1</v>
      </c>
      <c r="D774" s="28" t="s">
        <v>1411</v>
      </c>
      <c r="E774" s="41" t="s">
        <v>1412</v>
      </c>
      <c r="F774" s="25" t="s">
        <v>109</v>
      </c>
      <c r="G774" s="25"/>
      <c r="H774" s="24" t="s">
        <v>230</v>
      </c>
      <c r="I774" s="24" t="s">
        <v>230</v>
      </c>
      <c r="J774" s="28">
        <v>1</v>
      </c>
      <c r="K774" s="28"/>
      <c r="L774" s="41"/>
      <c r="M774" s="46"/>
    </row>
    <row r="775" ht="37.5" spans="2:13">
      <c r="B775" s="28">
        <f t="shared" si="14"/>
        <v>23697</v>
      </c>
      <c r="C775" s="28">
        <v>1</v>
      </c>
      <c r="D775" s="28" t="s">
        <v>1413</v>
      </c>
      <c r="E775" s="41" t="s">
        <v>1414</v>
      </c>
      <c r="F775" s="25" t="s">
        <v>109</v>
      </c>
      <c r="G775" s="25"/>
      <c r="H775" s="24" t="s">
        <v>230</v>
      </c>
      <c r="I775" s="24" t="s">
        <v>230</v>
      </c>
      <c r="J775" s="28">
        <v>1</v>
      </c>
      <c r="K775" s="28"/>
      <c r="L775" s="41"/>
      <c r="M775" s="46"/>
    </row>
    <row r="776" ht="37.5" spans="2:13">
      <c r="B776" s="28">
        <f t="shared" si="14"/>
        <v>23698</v>
      </c>
      <c r="C776" s="28">
        <v>1</v>
      </c>
      <c r="D776" s="28" t="s">
        <v>1415</v>
      </c>
      <c r="E776" s="41" t="s">
        <v>1416</v>
      </c>
      <c r="F776" s="25" t="s">
        <v>109</v>
      </c>
      <c r="G776" s="25"/>
      <c r="H776" s="24" t="s">
        <v>230</v>
      </c>
      <c r="I776" s="24" t="s">
        <v>230</v>
      </c>
      <c r="J776" s="28">
        <v>1</v>
      </c>
      <c r="K776" s="28"/>
      <c r="L776" s="41"/>
      <c r="M776" s="46"/>
    </row>
    <row r="777" ht="18.75" spans="2:13">
      <c r="B777" s="28">
        <f t="shared" si="14"/>
        <v>23699</v>
      </c>
      <c r="C777" s="28">
        <v>1</v>
      </c>
      <c r="D777" s="28" t="s">
        <v>1417</v>
      </c>
      <c r="E777" s="41" t="s">
        <v>1418</v>
      </c>
      <c r="F777" s="25" t="s">
        <v>109</v>
      </c>
      <c r="G777" s="25" t="s">
        <v>256</v>
      </c>
      <c r="H777" s="24" t="s">
        <v>182</v>
      </c>
      <c r="I777" s="28" t="s">
        <v>468</v>
      </c>
      <c r="J777" s="28">
        <v>0.001</v>
      </c>
      <c r="K777" s="28"/>
      <c r="L777" s="41"/>
      <c r="M777" s="46"/>
    </row>
    <row r="778" ht="37.5" spans="2:13">
      <c r="B778" s="28">
        <f t="shared" si="14"/>
        <v>23700</v>
      </c>
      <c r="C778" s="28">
        <v>1</v>
      </c>
      <c r="D778" s="28" t="s">
        <v>1419</v>
      </c>
      <c r="E778" s="41" t="s">
        <v>1420</v>
      </c>
      <c r="F778" s="25" t="s">
        <v>109</v>
      </c>
      <c r="G778" s="25"/>
      <c r="H778" s="24" t="s">
        <v>230</v>
      </c>
      <c r="I778" s="24" t="s">
        <v>230</v>
      </c>
      <c r="J778" s="28">
        <v>1</v>
      </c>
      <c r="K778" s="28"/>
      <c r="L778" s="41"/>
      <c r="M778" s="46"/>
    </row>
    <row r="779" ht="37.5" spans="2:13">
      <c r="B779" s="28">
        <f t="shared" si="14"/>
        <v>23701</v>
      </c>
      <c r="C779" s="28">
        <v>1</v>
      </c>
      <c r="D779" s="28" t="s">
        <v>1421</v>
      </c>
      <c r="E779" s="41" t="s">
        <v>1422</v>
      </c>
      <c r="F779" s="25" t="s">
        <v>109</v>
      </c>
      <c r="G779" s="25"/>
      <c r="H779" s="24" t="s">
        <v>230</v>
      </c>
      <c r="I779" s="24" t="s">
        <v>230</v>
      </c>
      <c r="J779" s="28">
        <v>1</v>
      </c>
      <c r="K779" s="28"/>
      <c r="L779" s="41"/>
      <c r="M779" s="46"/>
    </row>
    <row r="780" ht="18.75" spans="2:13">
      <c r="B780" s="28">
        <f t="shared" si="14"/>
        <v>23702</v>
      </c>
      <c r="C780" s="28">
        <v>1</v>
      </c>
      <c r="D780" s="28" t="s">
        <v>1423</v>
      </c>
      <c r="E780" s="41" t="s">
        <v>1424</v>
      </c>
      <c r="F780" s="25" t="s">
        <v>109</v>
      </c>
      <c r="G780" s="25" t="s">
        <v>256</v>
      </c>
      <c r="H780" s="24" t="s">
        <v>182</v>
      </c>
      <c r="I780" s="28" t="s">
        <v>468</v>
      </c>
      <c r="J780" s="28">
        <v>0.001</v>
      </c>
      <c r="K780" s="28"/>
      <c r="L780" s="41"/>
      <c r="M780" s="46"/>
    </row>
    <row r="781" ht="37.5" spans="2:13">
      <c r="B781" s="28">
        <f t="shared" si="14"/>
        <v>23703</v>
      </c>
      <c r="C781" s="28">
        <v>1</v>
      </c>
      <c r="D781" s="28" t="s">
        <v>1425</v>
      </c>
      <c r="E781" s="41" t="s">
        <v>1426</v>
      </c>
      <c r="F781" s="25" t="s">
        <v>109</v>
      </c>
      <c r="G781" s="25"/>
      <c r="H781" s="24" t="s">
        <v>230</v>
      </c>
      <c r="I781" s="24" t="s">
        <v>230</v>
      </c>
      <c r="J781" s="28">
        <v>1</v>
      </c>
      <c r="K781" s="28"/>
      <c r="L781" s="41"/>
      <c r="M781" s="46"/>
    </row>
    <row r="782" ht="37.5" spans="2:13">
      <c r="B782" s="28">
        <f t="shared" si="14"/>
        <v>23704</v>
      </c>
      <c r="C782" s="28">
        <v>1</v>
      </c>
      <c r="D782" s="28" t="s">
        <v>1427</v>
      </c>
      <c r="E782" s="41" t="s">
        <v>1428</v>
      </c>
      <c r="F782" s="25" t="s">
        <v>109</v>
      </c>
      <c r="G782" s="25"/>
      <c r="H782" s="24" t="s">
        <v>230</v>
      </c>
      <c r="I782" s="24" t="s">
        <v>230</v>
      </c>
      <c r="J782" s="28">
        <v>1</v>
      </c>
      <c r="K782" s="28"/>
      <c r="L782" s="41"/>
      <c r="M782" s="46"/>
    </row>
    <row r="783" ht="18.75" spans="2:13">
      <c r="B783" s="28">
        <f t="shared" si="14"/>
        <v>23705</v>
      </c>
      <c r="C783" s="28">
        <v>1</v>
      </c>
      <c r="D783" s="28" t="s">
        <v>1429</v>
      </c>
      <c r="E783" s="41" t="s">
        <v>1430</v>
      </c>
      <c r="F783" s="25" t="s">
        <v>109</v>
      </c>
      <c r="G783" s="25" t="s">
        <v>256</v>
      </c>
      <c r="H783" s="24" t="s">
        <v>182</v>
      </c>
      <c r="I783" s="28" t="s">
        <v>468</v>
      </c>
      <c r="J783" s="28">
        <v>0.001</v>
      </c>
      <c r="K783" s="28"/>
      <c r="L783" s="41"/>
      <c r="M783" s="46"/>
    </row>
    <row r="784" ht="18.75" spans="2:13">
      <c r="B784" s="28">
        <f t="shared" si="14"/>
        <v>23706</v>
      </c>
      <c r="C784" s="28">
        <v>1</v>
      </c>
      <c r="D784" s="28" t="s">
        <v>1431</v>
      </c>
      <c r="E784" s="41" t="s">
        <v>1432</v>
      </c>
      <c r="F784" s="25" t="s">
        <v>109</v>
      </c>
      <c r="G784" s="25" t="s">
        <v>256</v>
      </c>
      <c r="H784" s="24" t="s">
        <v>182</v>
      </c>
      <c r="I784" s="28" t="s">
        <v>468</v>
      </c>
      <c r="J784" s="28">
        <v>0.01</v>
      </c>
      <c r="K784" s="28"/>
      <c r="L784" s="41"/>
      <c r="M784" s="46"/>
    </row>
    <row r="785" ht="18.75" spans="2:13">
      <c r="B785" s="28">
        <f t="shared" si="14"/>
        <v>23707</v>
      </c>
      <c r="C785" s="28">
        <v>1</v>
      </c>
      <c r="D785" s="28" t="s">
        <v>1433</v>
      </c>
      <c r="E785" s="41" t="s">
        <v>1434</v>
      </c>
      <c r="F785" s="25" t="s">
        <v>109</v>
      </c>
      <c r="G785" s="25"/>
      <c r="H785" s="24" t="s">
        <v>230</v>
      </c>
      <c r="I785" s="24" t="s">
        <v>230</v>
      </c>
      <c r="J785" s="28">
        <v>1</v>
      </c>
      <c r="K785" s="28"/>
      <c r="L785" s="41"/>
      <c r="M785" s="46"/>
    </row>
    <row r="786" ht="18.75" spans="2:13">
      <c r="B786" s="28">
        <f t="shared" si="14"/>
        <v>23708</v>
      </c>
      <c r="C786" s="28">
        <v>1</v>
      </c>
      <c r="D786" s="28" t="s">
        <v>1435</v>
      </c>
      <c r="E786" s="41" t="s">
        <v>1436</v>
      </c>
      <c r="F786" s="25" t="s">
        <v>109</v>
      </c>
      <c r="G786" s="25" t="s">
        <v>256</v>
      </c>
      <c r="H786" s="24" t="s">
        <v>182</v>
      </c>
      <c r="I786" s="28" t="s">
        <v>468</v>
      </c>
      <c r="J786" s="28">
        <v>0.01</v>
      </c>
      <c r="K786" s="28"/>
      <c r="L786" s="41"/>
      <c r="M786" s="46"/>
    </row>
    <row r="787" ht="18.75" spans="2:13">
      <c r="B787" s="28">
        <f t="shared" si="14"/>
        <v>23709</v>
      </c>
      <c r="C787" s="28">
        <v>1</v>
      </c>
      <c r="D787" s="28" t="s">
        <v>1437</v>
      </c>
      <c r="E787" s="41" t="s">
        <v>1438</v>
      </c>
      <c r="F787" s="25" t="s">
        <v>109</v>
      </c>
      <c r="G787" s="25"/>
      <c r="H787" s="24" t="s">
        <v>230</v>
      </c>
      <c r="I787" s="24" t="s">
        <v>230</v>
      </c>
      <c r="J787" s="28">
        <v>1</v>
      </c>
      <c r="K787" s="28"/>
      <c r="L787" s="41"/>
      <c r="M787" s="46"/>
    </row>
    <row r="788" ht="18.75" spans="2:13">
      <c r="B788" s="28">
        <f t="shared" si="14"/>
        <v>23710</v>
      </c>
      <c r="C788" s="28">
        <v>2</v>
      </c>
      <c r="D788" s="28" t="s">
        <v>1439</v>
      </c>
      <c r="E788" s="41" t="s">
        <v>1440</v>
      </c>
      <c r="F788" s="25" t="s">
        <v>109</v>
      </c>
      <c r="G788" s="25" t="s">
        <v>1441</v>
      </c>
      <c r="H788" s="24" t="s">
        <v>179</v>
      </c>
      <c r="I788" s="24" t="s">
        <v>179</v>
      </c>
      <c r="J788" s="28">
        <v>1</v>
      </c>
      <c r="K788" s="28"/>
      <c r="L788" s="41"/>
      <c r="M788" s="46"/>
    </row>
    <row r="789" ht="37.5" spans="2:13">
      <c r="B789" s="28">
        <f t="shared" si="14"/>
        <v>23712</v>
      </c>
      <c r="C789" s="28">
        <v>1</v>
      </c>
      <c r="D789" s="28" t="s">
        <v>1442</v>
      </c>
      <c r="E789" s="41" t="s">
        <v>1443</v>
      </c>
      <c r="F789" s="25" t="s">
        <v>109</v>
      </c>
      <c r="G789" s="25"/>
      <c r="H789" s="24" t="s">
        <v>230</v>
      </c>
      <c r="I789" s="24" t="s">
        <v>230</v>
      </c>
      <c r="J789" s="28">
        <v>1</v>
      </c>
      <c r="K789" s="28"/>
      <c r="L789" s="41"/>
      <c r="M789" s="46"/>
    </row>
    <row r="790" ht="37.5" spans="2:13">
      <c r="B790" s="28">
        <f t="shared" si="14"/>
        <v>23713</v>
      </c>
      <c r="C790" s="28">
        <v>1</v>
      </c>
      <c r="D790" s="28" t="s">
        <v>1444</v>
      </c>
      <c r="E790" s="41" t="s">
        <v>1445</v>
      </c>
      <c r="F790" s="25" t="s">
        <v>109</v>
      </c>
      <c r="G790" s="25"/>
      <c r="H790" s="24" t="s">
        <v>230</v>
      </c>
      <c r="I790" s="24" t="s">
        <v>230</v>
      </c>
      <c r="J790" s="28">
        <v>1</v>
      </c>
      <c r="K790" s="28"/>
      <c r="L790" s="41"/>
      <c r="M790" s="46"/>
    </row>
    <row r="791" ht="18.75" spans="2:13">
      <c r="B791" s="28">
        <f t="shared" si="14"/>
        <v>23714</v>
      </c>
      <c r="C791" s="28">
        <v>2</v>
      </c>
      <c r="D791" s="28" t="s">
        <v>1446</v>
      </c>
      <c r="E791" s="41" t="s">
        <v>1447</v>
      </c>
      <c r="F791" s="25" t="s">
        <v>109</v>
      </c>
      <c r="G791" s="25" t="s">
        <v>1441</v>
      </c>
      <c r="H791" s="24" t="s">
        <v>179</v>
      </c>
      <c r="I791" s="24" t="s">
        <v>179</v>
      </c>
      <c r="J791" s="28">
        <v>1</v>
      </c>
      <c r="K791" s="28"/>
      <c r="L791" s="41"/>
      <c r="M791" s="46"/>
    </row>
    <row r="792" ht="37.5" spans="2:13">
      <c r="B792" s="28">
        <f t="shared" si="14"/>
        <v>23716</v>
      </c>
      <c r="C792" s="28">
        <v>1</v>
      </c>
      <c r="D792" s="28" t="s">
        <v>1448</v>
      </c>
      <c r="E792" s="41" t="s">
        <v>1449</v>
      </c>
      <c r="F792" s="25" t="s">
        <v>109</v>
      </c>
      <c r="G792" s="25"/>
      <c r="H792" s="24" t="s">
        <v>230</v>
      </c>
      <c r="I792" s="24" t="s">
        <v>230</v>
      </c>
      <c r="J792" s="28">
        <v>1</v>
      </c>
      <c r="K792" s="28"/>
      <c r="L792" s="41"/>
      <c r="M792" s="46"/>
    </row>
    <row r="793" ht="37.5" spans="2:13">
      <c r="B793" s="28">
        <f t="shared" si="14"/>
        <v>23717</v>
      </c>
      <c r="C793" s="28">
        <v>1</v>
      </c>
      <c r="D793" s="28" t="s">
        <v>1450</v>
      </c>
      <c r="E793" s="41" t="s">
        <v>1451</v>
      </c>
      <c r="F793" s="25" t="s">
        <v>109</v>
      </c>
      <c r="G793" s="25"/>
      <c r="H793" s="24" t="s">
        <v>230</v>
      </c>
      <c r="I793" s="24" t="s">
        <v>230</v>
      </c>
      <c r="J793" s="28">
        <v>1</v>
      </c>
      <c r="K793" s="28"/>
      <c r="L793" s="41"/>
      <c r="M793" s="46"/>
    </row>
    <row r="794" ht="18.75" spans="2:13">
      <c r="B794" s="28">
        <f t="shared" si="14"/>
        <v>23718</v>
      </c>
      <c r="C794" s="28">
        <v>1</v>
      </c>
      <c r="D794" s="28" t="s">
        <v>1452</v>
      </c>
      <c r="E794" s="41" t="s">
        <v>1453</v>
      </c>
      <c r="F794" s="25" t="s">
        <v>109</v>
      </c>
      <c r="G794" s="25" t="s">
        <v>1441</v>
      </c>
      <c r="H794" s="24" t="s">
        <v>230</v>
      </c>
      <c r="I794" s="28" t="s">
        <v>468</v>
      </c>
      <c r="J794" s="28">
        <v>1</v>
      </c>
      <c r="K794" s="28"/>
      <c r="L794" s="41"/>
      <c r="M794" s="46"/>
    </row>
    <row r="795" ht="18.75" spans="2:13">
      <c r="B795" s="28">
        <f t="shared" si="14"/>
        <v>23719</v>
      </c>
      <c r="C795" s="28">
        <v>2</v>
      </c>
      <c r="D795" s="28" t="s">
        <v>1454</v>
      </c>
      <c r="E795" s="41" t="s">
        <v>1455</v>
      </c>
      <c r="F795" s="25" t="s">
        <v>109</v>
      </c>
      <c r="G795" s="25" t="s">
        <v>1441</v>
      </c>
      <c r="H795" s="24" t="s">
        <v>179</v>
      </c>
      <c r="I795" s="24" t="s">
        <v>179</v>
      </c>
      <c r="J795" s="28">
        <v>1</v>
      </c>
      <c r="K795" s="28"/>
      <c r="L795" s="41"/>
      <c r="M795" s="46"/>
    </row>
    <row r="796" ht="18.75" spans="2:13">
      <c r="B796" s="28">
        <f t="shared" si="14"/>
        <v>23721</v>
      </c>
      <c r="C796" s="28">
        <v>2</v>
      </c>
      <c r="D796" s="28" t="s">
        <v>1456</v>
      </c>
      <c r="E796" s="41" t="s">
        <v>1457</v>
      </c>
      <c r="F796" s="25" t="s">
        <v>109</v>
      </c>
      <c r="G796" s="25" t="s">
        <v>1441</v>
      </c>
      <c r="H796" s="24" t="s">
        <v>179</v>
      </c>
      <c r="I796" s="24" t="s">
        <v>179</v>
      </c>
      <c r="J796" s="28">
        <v>1</v>
      </c>
      <c r="K796" s="28"/>
      <c r="L796" s="41"/>
      <c r="M796" s="46"/>
    </row>
    <row r="797" ht="18.75" spans="2:13">
      <c r="B797" s="28">
        <f t="shared" si="14"/>
        <v>23723</v>
      </c>
      <c r="C797" s="28">
        <v>2</v>
      </c>
      <c r="D797" s="28" t="s">
        <v>1458</v>
      </c>
      <c r="E797" s="41" t="s">
        <v>1459</v>
      </c>
      <c r="F797" s="25" t="s">
        <v>109</v>
      </c>
      <c r="G797" s="25" t="s">
        <v>1441</v>
      </c>
      <c r="H797" s="24" t="s">
        <v>179</v>
      </c>
      <c r="I797" s="24" t="s">
        <v>179</v>
      </c>
      <c r="J797" s="28">
        <v>1</v>
      </c>
      <c r="K797" s="28"/>
      <c r="L797" s="41"/>
      <c r="M797" s="46"/>
    </row>
    <row r="798" ht="18.75" spans="2:13">
      <c r="B798" s="28">
        <f t="shared" si="14"/>
        <v>23725</v>
      </c>
      <c r="C798" s="28">
        <v>2</v>
      </c>
      <c r="D798" s="28" t="s">
        <v>1460</v>
      </c>
      <c r="E798" s="41" t="s">
        <v>1461</v>
      </c>
      <c r="F798" s="25" t="s">
        <v>109</v>
      </c>
      <c r="G798" s="25" t="s">
        <v>1441</v>
      </c>
      <c r="H798" s="24" t="s">
        <v>179</v>
      </c>
      <c r="I798" s="24" t="s">
        <v>179</v>
      </c>
      <c r="J798" s="28">
        <v>1</v>
      </c>
      <c r="K798" s="28"/>
      <c r="L798" s="41"/>
      <c r="M798" s="46"/>
    </row>
    <row r="799" ht="37.5" spans="2:13">
      <c r="B799" s="28">
        <f t="shared" si="14"/>
        <v>23727</v>
      </c>
      <c r="C799" s="28">
        <v>2</v>
      </c>
      <c r="D799" s="28" t="s">
        <v>1462</v>
      </c>
      <c r="E799" s="41" t="s">
        <v>1463</v>
      </c>
      <c r="F799" s="25" t="s">
        <v>109</v>
      </c>
      <c r="G799" s="25" t="s">
        <v>1441</v>
      </c>
      <c r="H799" s="24" t="s">
        <v>179</v>
      </c>
      <c r="I799" s="24" t="s">
        <v>179</v>
      </c>
      <c r="J799" s="28">
        <v>1</v>
      </c>
      <c r="K799" s="28"/>
      <c r="L799" s="41"/>
      <c r="M799" s="46"/>
    </row>
    <row r="800" ht="37.5" spans="2:13">
      <c r="B800" s="28">
        <f t="shared" si="14"/>
        <v>23729</v>
      </c>
      <c r="C800" s="28">
        <v>1</v>
      </c>
      <c r="D800" s="28" t="s">
        <v>1464</v>
      </c>
      <c r="E800" s="41" t="s">
        <v>1465</v>
      </c>
      <c r="F800" s="25" t="s">
        <v>109</v>
      </c>
      <c r="G800" s="25"/>
      <c r="H800" s="24" t="s">
        <v>230</v>
      </c>
      <c r="I800" s="24" t="s">
        <v>230</v>
      </c>
      <c r="J800" s="28">
        <v>1</v>
      </c>
      <c r="K800" s="28"/>
      <c r="L800" s="41"/>
      <c r="M800" s="46"/>
    </row>
    <row r="801" ht="37.5" spans="2:14">
      <c r="B801" s="28">
        <f t="shared" si="14"/>
        <v>23730</v>
      </c>
      <c r="C801" s="28">
        <v>2</v>
      </c>
      <c r="D801" s="28" t="s">
        <v>1466</v>
      </c>
      <c r="E801" s="41" t="s">
        <v>1467</v>
      </c>
      <c r="F801" s="25" t="s">
        <v>109</v>
      </c>
      <c r="G801" s="25" t="s">
        <v>1441</v>
      </c>
      <c r="H801" s="24" t="s">
        <v>179</v>
      </c>
      <c r="I801" s="24" t="s">
        <v>179</v>
      </c>
      <c r="J801" s="28">
        <v>1</v>
      </c>
      <c r="K801" s="28"/>
      <c r="L801" s="41"/>
      <c r="M801" s="46"/>
    </row>
    <row r="802" ht="37.5" spans="2:14">
      <c r="B802" s="28">
        <f t="shared" si="14"/>
        <v>23732</v>
      </c>
      <c r="C802" s="28">
        <v>1</v>
      </c>
      <c r="D802" s="28" t="s">
        <v>1468</v>
      </c>
      <c r="E802" s="41" t="s">
        <v>1469</v>
      </c>
      <c r="F802" s="25" t="s">
        <v>109</v>
      </c>
      <c r="G802" s="25"/>
      <c r="H802" s="24" t="s">
        <v>230</v>
      </c>
      <c r="I802" s="24" t="s">
        <v>230</v>
      </c>
      <c r="J802" s="28">
        <v>1</v>
      </c>
      <c r="K802" s="28"/>
      <c r="L802" s="41"/>
      <c r="M802" s="46"/>
    </row>
    <row r="803" ht="37.5" spans="2:14">
      <c r="B803" s="28">
        <f t="shared" si="14"/>
        <v>23733</v>
      </c>
      <c r="C803" s="28">
        <v>2</v>
      </c>
      <c r="D803" s="28" t="s">
        <v>1470</v>
      </c>
      <c r="E803" s="41" t="s">
        <v>1471</v>
      </c>
      <c r="F803" s="25" t="s">
        <v>109</v>
      </c>
      <c r="G803" s="25" t="s">
        <v>1441</v>
      </c>
      <c r="H803" s="24" t="s">
        <v>179</v>
      </c>
      <c r="I803" s="24" t="s">
        <v>179</v>
      </c>
      <c r="J803" s="28">
        <v>1</v>
      </c>
      <c r="K803" s="28"/>
      <c r="L803" s="41"/>
      <c r="M803" s="46"/>
    </row>
    <row r="804" ht="37.5" spans="2:14">
      <c r="B804" s="28">
        <f t="shared" si="14"/>
        <v>23735</v>
      </c>
      <c r="C804" s="28">
        <v>1</v>
      </c>
      <c r="D804" s="28" t="s">
        <v>1472</v>
      </c>
      <c r="E804" s="41" t="s">
        <v>1473</v>
      </c>
      <c r="F804" s="25" t="s">
        <v>109</v>
      </c>
      <c r="G804" s="25"/>
      <c r="H804" s="24" t="s">
        <v>230</v>
      </c>
      <c r="I804" s="24" t="s">
        <v>230</v>
      </c>
      <c r="J804" s="28">
        <v>1</v>
      </c>
      <c r="K804" s="28"/>
      <c r="L804" s="41"/>
      <c r="M804" s="46"/>
    </row>
    <row r="805" ht="37.5" spans="2:14">
      <c r="B805" s="28">
        <f t="shared" si="14"/>
        <v>23736</v>
      </c>
      <c r="C805" s="28">
        <v>2</v>
      </c>
      <c r="D805" s="28" t="s">
        <v>1474</v>
      </c>
      <c r="E805" s="41" t="s">
        <v>1475</v>
      </c>
      <c r="F805" s="25" t="s">
        <v>109</v>
      </c>
      <c r="G805" s="25" t="s">
        <v>1441</v>
      </c>
      <c r="H805" s="24" t="s">
        <v>179</v>
      </c>
      <c r="I805" s="24" t="s">
        <v>179</v>
      </c>
      <c r="J805" s="28">
        <v>1</v>
      </c>
      <c r="K805" s="28"/>
      <c r="L805" s="41"/>
      <c r="M805" s="46"/>
    </row>
    <row r="806" ht="37.5" spans="2:14">
      <c r="B806" s="28">
        <f t="shared" si="14"/>
        <v>23738</v>
      </c>
      <c r="C806" s="28">
        <v>1</v>
      </c>
      <c r="D806" s="28" t="s">
        <v>1476</v>
      </c>
      <c r="E806" s="41" t="s">
        <v>1477</v>
      </c>
      <c r="F806" s="25" t="s">
        <v>109</v>
      </c>
      <c r="G806" s="25"/>
      <c r="H806" s="24" t="s">
        <v>230</v>
      </c>
      <c r="I806" s="24" t="s">
        <v>230</v>
      </c>
      <c r="J806" s="28">
        <v>1</v>
      </c>
      <c r="K806" s="28"/>
      <c r="L806" s="41"/>
      <c r="M806" s="46"/>
    </row>
    <row r="807" s="34" customFormat="1" ht="18.75" spans="2:14">
      <c r="B807" s="44">
        <f t="shared" si="14"/>
        <v>23739</v>
      </c>
      <c r="C807" s="44">
        <v>2</v>
      </c>
      <c r="D807" s="44" t="s">
        <v>1478</v>
      </c>
      <c r="E807" s="48" t="s">
        <v>1479</v>
      </c>
      <c r="F807" s="66" t="s">
        <v>109</v>
      </c>
      <c r="G807" s="66" t="s">
        <v>1441</v>
      </c>
      <c r="H807" s="64" t="s">
        <v>179</v>
      </c>
      <c r="I807" s="64" t="s">
        <v>179</v>
      </c>
      <c r="J807" s="44">
        <v>1</v>
      </c>
      <c r="K807" s="44"/>
      <c r="L807" s="48"/>
      <c r="M807" s="47"/>
      <c r="N807" s="60" t="s">
        <v>1480</v>
      </c>
    </row>
    <row r="808" ht="18.75" spans="2:14">
      <c r="B808" s="28">
        <f t="shared" si="14"/>
        <v>23741</v>
      </c>
      <c r="C808" s="28">
        <v>8</v>
      </c>
      <c r="D808" s="28" t="s">
        <v>1481</v>
      </c>
      <c r="E808" s="41" t="s">
        <v>1482</v>
      </c>
      <c r="F808" s="25" t="s">
        <v>109</v>
      </c>
      <c r="G808" s="25"/>
      <c r="H808" s="24" t="s">
        <v>1483</v>
      </c>
      <c r="I808" s="24" t="s">
        <v>1483</v>
      </c>
      <c r="J808" s="28">
        <v>1</v>
      </c>
      <c r="K808" s="28"/>
      <c r="L808" s="41"/>
      <c r="M808" s="46"/>
    </row>
    <row r="809" ht="18.75" spans="2:14">
      <c r="B809" s="28">
        <f t="shared" si="14"/>
        <v>23749</v>
      </c>
      <c r="C809" s="28">
        <v>8</v>
      </c>
      <c r="D809" s="28" t="s">
        <v>1484</v>
      </c>
      <c r="E809" s="41" t="s">
        <v>1485</v>
      </c>
      <c r="F809" s="25" t="s">
        <v>109</v>
      </c>
      <c r="G809" s="25"/>
      <c r="H809" s="24" t="s">
        <v>1483</v>
      </c>
      <c r="I809" s="24" t="s">
        <v>1483</v>
      </c>
      <c r="J809" s="28">
        <v>1</v>
      </c>
      <c r="K809" s="28"/>
      <c r="L809" s="41"/>
      <c r="M809" s="46"/>
    </row>
    <row r="810" ht="18.75" spans="2:14">
      <c r="B810" s="28">
        <f t="shared" si="14"/>
        <v>23757</v>
      </c>
      <c r="C810" s="28">
        <v>2</v>
      </c>
      <c r="D810" s="28" t="s">
        <v>1486</v>
      </c>
      <c r="E810" s="41" t="s">
        <v>1487</v>
      </c>
      <c r="F810" s="25" t="s">
        <v>109</v>
      </c>
      <c r="G810" s="25" t="s">
        <v>155</v>
      </c>
      <c r="H810" s="24" t="s">
        <v>450</v>
      </c>
      <c r="I810" s="24" t="s">
        <v>450</v>
      </c>
      <c r="J810" s="28">
        <v>1</v>
      </c>
      <c r="K810" s="28"/>
      <c r="L810" s="41"/>
      <c r="M810" s="46"/>
    </row>
    <row r="811" ht="18.75" spans="2:14">
      <c r="B811" s="28">
        <f t="shared" si="14"/>
        <v>23759</v>
      </c>
      <c r="C811" s="28">
        <v>2</v>
      </c>
      <c r="D811" s="28" t="s">
        <v>1488</v>
      </c>
      <c r="E811" s="41" t="s">
        <v>1489</v>
      </c>
      <c r="F811" s="25" t="s">
        <v>109</v>
      </c>
      <c r="G811" s="25" t="s">
        <v>155</v>
      </c>
      <c r="H811" s="24" t="s">
        <v>450</v>
      </c>
      <c r="I811" s="24" t="s">
        <v>450</v>
      </c>
      <c r="J811" s="28">
        <v>1</v>
      </c>
      <c r="K811" s="28"/>
      <c r="L811" s="41"/>
      <c r="M811" s="46"/>
    </row>
    <row r="812" ht="18.75" spans="2:14">
      <c r="B812" s="28">
        <f t="shared" si="14"/>
        <v>23761</v>
      </c>
      <c r="C812" s="28">
        <v>1</v>
      </c>
      <c r="D812" s="28" t="s">
        <v>1490</v>
      </c>
      <c r="E812" s="41" t="s">
        <v>1491</v>
      </c>
      <c r="F812" s="25" t="s">
        <v>109</v>
      </c>
      <c r="G812" s="25" t="s">
        <v>1492</v>
      </c>
      <c r="H812" s="24" t="s">
        <v>172</v>
      </c>
      <c r="I812" s="24" t="s">
        <v>468</v>
      </c>
      <c r="J812" s="28">
        <v>1</v>
      </c>
      <c r="K812" s="28"/>
      <c r="L812" s="41"/>
      <c r="M812" s="46"/>
    </row>
    <row r="813" ht="18.75" spans="2:14">
      <c r="B813" s="28">
        <f t="shared" si="14"/>
        <v>23762</v>
      </c>
      <c r="C813" s="28">
        <v>1</v>
      </c>
      <c r="D813" s="28" t="s">
        <v>1493</v>
      </c>
      <c r="E813" s="41" t="s">
        <v>1494</v>
      </c>
      <c r="F813" s="25" t="s">
        <v>109</v>
      </c>
      <c r="G813" s="25" t="s">
        <v>256</v>
      </c>
      <c r="H813" s="24" t="s">
        <v>172</v>
      </c>
      <c r="I813" s="24" t="s">
        <v>468</v>
      </c>
      <c r="J813" s="28">
        <v>1</v>
      </c>
      <c r="K813" s="28"/>
      <c r="L813" s="41"/>
      <c r="M813" s="46"/>
    </row>
    <row r="814" ht="18.75" spans="2:14">
      <c r="B814" s="28">
        <f t="shared" si="14"/>
        <v>23763</v>
      </c>
      <c r="C814" s="28">
        <v>1</v>
      </c>
      <c r="D814" s="28" t="s">
        <v>1495</v>
      </c>
      <c r="E814" s="41" t="s">
        <v>1496</v>
      </c>
      <c r="F814" s="25" t="s">
        <v>109</v>
      </c>
      <c r="G814" s="25" t="s">
        <v>1492</v>
      </c>
      <c r="H814" s="24" t="s">
        <v>172</v>
      </c>
      <c r="I814" s="24" t="s">
        <v>468</v>
      </c>
      <c r="J814" s="28">
        <v>1</v>
      </c>
      <c r="K814" s="28"/>
      <c r="L814" s="41"/>
      <c r="M814" s="46"/>
    </row>
    <row r="815" ht="18.75" spans="2:14">
      <c r="B815" s="28">
        <f t="shared" si="14"/>
        <v>23764</v>
      </c>
      <c r="C815" s="28">
        <v>1</v>
      </c>
      <c r="D815" s="28" t="s">
        <v>1497</v>
      </c>
      <c r="E815" s="41" t="s">
        <v>1498</v>
      </c>
      <c r="F815" s="25" t="s">
        <v>109</v>
      </c>
      <c r="G815" s="25" t="s">
        <v>1492</v>
      </c>
      <c r="H815" s="24" t="s">
        <v>172</v>
      </c>
      <c r="I815" s="24" t="s">
        <v>468</v>
      </c>
      <c r="J815" s="28">
        <v>1</v>
      </c>
      <c r="K815" s="28"/>
      <c r="L815" s="41"/>
      <c r="M815" s="46"/>
    </row>
    <row r="816" ht="18.75" spans="2:14">
      <c r="B816" s="28">
        <f t="shared" si="14"/>
        <v>23765</v>
      </c>
      <c r="C816" s="28">
        <v>1</v>
      </c>
      <c r="D816" s="28" t="s">
        <v>1499</v>
      </c>
      <c r="E816" s="41" t="s">
        <v>1500</v>
      </c>
      <c r="F816" s="25" t="s">
        <v>109</v>
      </c>
      <c r="G816" s="25" t="s">
        <v>256</v>
      </c>
      <c r="H816" s="24" t="s">
        <v>182</v>
      </c>
      <c r="I816" s="24" t="s">
        <v>468</v>
      </c>
      <c r="J816" s="28">
        <v>0.1</v>
      </c>
      <c r="K816" s="28"/>
      <c r="L816" s="41"/>
      <c r="M816" s="46"/>
    </row>
    <row r="817" ht="18.75" spans="2:13">
      <c r="B817" s="28">
        <f t="shared" si="14"/>
        <v>23766</v>
      </c>
      <c r="C817" s="28">
        <v>1</v>
      </c>
      <c r="D817" s="28" t="s">
        <v>1501</v>
      </c>
      <c r="E817" s="41" t="s">
        <v>1502</v>
      </c>
      <c r="F817" s="25" t="s">
        <v>109</v>
      </c>
      <c r="G817" s="25" t="s">
        <v>256</v>
      </c>
      <c r="H817" s="24" t="s">
        <v>182</v>
      </c>
      <c r="I817" s="24" t="s">
        <v>468</v>
      </c>
      <c r="J817" s="28">
        <v>0.1</v>
      </c>
      <c r="K817" s="28"/>
      <c r="L817" s="41"/>
      <c r="M817" s="46"/>
    </row>
    <row r="818" ht="18.75" spans="2:13">
      <c r="B818" s="28">
        <f t="shared" si="14"/>
        <v>23767</v>
      </c>
      <c r="C818" s="28">
        <v>1</v>
      </c>
      <c r="D818" s="28" t="s">
        <v>1503</v>
      </c>
      <c r="E818" s="41" t="s">
        <v>1504</v>
      </c>
      <c r="F818" s="25" t="s">
        <v>109</v>
      </c>
      <c r="G818" s="25"/>
      <c r="H818" s="24" t="s">
        <v>230</v>
      </c>
      <c r="I818" s="24" t="s">
        <v>230</v>
      </c>
      <c r="J818" s="28">
        <v>1</v>
      </c>
      <c r="K818" s="28"/>
      <c r="L818" s="41" t="s">
        <v>1505</v>
      </c>
      <c r="M818" s="46"/>
    </row>
    <row r="819" ht="18.75" spans="2:13">
      <c r="B819" s="28">
        <f t="shared" si="14"/>
        <v>23768</v>
      </c>
      <c r="C819" s="28">
        <v>1</v>
      </c>
      <c r="D819" s="28" t="s">
        <v>1506</v>
      </c>
      <c r="E819" s="41" t="s">
        <v>1507</v>
      </c>
      <c r="F819" s="25" t="s">
        <v>109</v>
      </c>
      <c r="G819" s="25"/>
      <c r="H819" s="24" t="s">
        <v>230</v>
      </c>
      <c r="I819" s="24" t="s">
        <v>230</v>
      </c>
      <c r="J819" s="28">
        <v>1</v>
      </c>
      <c r="K819" s="28"/>
      <c r="L819" s="41" t="s">
        <v>1508</v>
      </c>
      <c r="M819" s="46"/>
    </row>
    <row r="820" ht="18.75" spans="2:13">
      <c r="B820" s="28">
        <f t="shared" si="14"/>
        <v>23769</v>
      </c>
      <c r="C820" s="28">
        <v>1</v>
      </c>
      <c r="D820" s="28" t="s">
        <v>1509</v>
      </c>
      <c r="E820" s="41" t="s">
        <v>1510</v>
      </c>
      <c r="F820" s="25" t="s">
        <v>109</v>
      </c>
      <c r="G820" s="25" t="s">
        <v>332</v>
      </c>
      <c r="H820" s="24" t="s">
        <v>182</v>
      </c>
      <c r="I820" s="24" t="s">
        <v>468</v>
      </c>
      <c r="J820" s="28">
        <v>0.01</v>
      </c>
      <c r="K820" s="28"/>
      <c r="L820" s="41"/>
      <c r="M820" s="46"/>
    </row>
    <row r="821" ht="18.75" spans="2:13">
      <c r="B821" s="28">
        <f t="shared" si="14"/>
        <v>23770</v>
      </c>
      <c r="C821" s="28">
        <v>1</v>
      </c>
      <c r="D821" s="28" t="s">
        <v>1511</v>
      </c>
      <c r="E821" s="41" t="s">
        <v>1512</v>
      </c>
      <c r="F821" s="25" t="s">
        <v>109</v>
      </c>
      <c r="G821" s="25" t="s">
        <v>332</v>
      </c>
      <c r="H821" s="24" t="s">
        <v>182</v>
      </c>
      <c r="I821" s="24" t="s">
        <v>468</v>
      </c>
      <c r="J821" s="28">
        <v>0.01</v>
      </c>
      <c r="K821" s="28"/>
      <c r="L821" s="41"/>
      <c r="M821" s="46"/>
    </row>
    <row r="822" ht="18.75" spans="2:13">
      <c r="B822" s="28">
        <f t="shared" si="14"/>
        <v>23771</v>
      </c>
      <c r="C822" s="28">
        <v>1</v>
      </c>
      <c r="D822" s="28" t="s">
        <v>1513</v>
      </c>
      <c r="E822" s="41" t="s">
        <v>1514</v>
      </c>
      <c r="F822" s="25" t="s">
        <v>109</v>
      </c>
      <c r="G822" s="25" t="s">
        <v>332</v>
      </c>
      <c r="H822" s="24" t="s">
        <v>182</v>
      </c>
      <c r="I822" s="24" t="s">
        <v>468</v>
      </c>
      <c r="J822" s="28">
        <v>0.01</v>
      </c>
      <c r="K822" s="28"/>
      <c r="L822" s="41"/>
      <c r="M822" s="46"/>
    </row>
    <row r="823" ht="37.5" spans="2:13">
      <c r="B823" s="28">
        <f t="shared" ref="B823:B840" si="15">B822+C822</f>
        <v>23772</v>
      </c>
      <c r="C823" s="28">
        <v>1</v>
      </c>
      <c r="D823" s="28" t="s">
        <v>1515</v>
      </c>
      <c r="E823" s="41" t="s">
        <v>1516</v>
      </c>
      <c r="F823" s="25" t="s">
        <v>109</v>
      </c>
      <c r="G823" s="25"/>
      <c r="H823" s="24" t="s">
        <v>230</v>
      </c>
      <c r="I823" s="24" t="s">
        <v>230</v>
      </c>
      <c r="J823" s="28">
        <v>1</v>
      </c>
      <c r="K823" s="28"/>
      <c r="L823" s="41" t="s">
        <v>1517</v>
      </c>
      <c r="M823" s="46"/>
    </row>
    <row r="824" ht="18.75" spans="2:13">
      <c r="B824" s="28">
        <f t="shared" si="15"/>
        <v>23773</v>
      </c>
      <c r="C824" s="28">
        <v>1</v>
      </c>
      <c r="D824" s="28" t="s">
        <v>1518</v>
      </c>
      <c r="E824" s="41" t="s">
        <v>1519</v>
      </c>
      <c r="F824" s="25" t="s">
        <v>109</v>
      </c>
      <c r="G824" s="25"/>
      <c r="H824" s="24" t="s">
        <v>230</v>
      </c>
      <c r="I824" s="24" t="s">
        <v>230</v>
      </c>
      <c r="J824" s="28">
        <v>1</v>
      </c>
      <c r="K824" s="28"/>
      <c r="L824" s="41" t="s">
        <v>1520</v>
      </c>
      <c r="M824" s="46"/>
    </row>
    <row r="825" ht="150" spans="2:13">
      <c r="B825" s="28">
        <f t="shared" si="15"/>
        <v>23774</v>
      </c>
      <c r="C825" s="28">
        <v>1</v>
      </c>
      <c r="D825" s="28" t="s">
        <v>1277</v>
      </c>
      <c r="E825" s="41" t="s">
        <v>1521</v>
      </c>
      <c r="F825" s="25" t="s">
        <v>109</v>
      </c>
      <c r="G825" s="25"/>
      <c r="H825" s="24" t="s">
        <v>230</v>
      </c>
      <c r="I825" s="24" t="s">
        <v>230</v>
      </c>
      <c r="J825" s="28">
        <v>1</v>
      </c>
      <c r="K825" s="28"/>
      <c r="L825" s="41" t="s">
        <v>1522</v>
      </c>
      <c r="M825" s="46"/>
    </row>
    <row r="826" ht="150" spans="2:13">
      <c r="B826" s="28">
        <f t="shared" si="15"/>
        <v>23775</v>
      </c>
      <c r="C826" s="28">
        <v>1</v>
      </c>
      <c r="D826" s="28" t="s">
        <v>1279</v>
      </c>
      <c r="E826" s="41" t="s">
        <v>1523</v>
      </c>
      <c r="F826" s="25" t="s">
        <v>109</v>
      </c>
      <c r="G826" s="25"/>
      <c r="H826" s="24" t="s">
        <v>230</v>
      </c>
      <c r="I826" s="24" t="s">
        <v>230</v>
      </c>
      <c r="J826" s="28">
        <v>1</v>
      </c>
      <c r="K826" s="28"/>
      <c r="L826" s="41" t="s">
        <v>1524</v>
      </c>
      <c r="M826" s="46"/>
    </row>
    <row r="827" ht="150" spans="2:13">
      <c r="B827" s="28">
        <f t="shared" si="15"/>
        <v>23776</v>
      </c>
      <c r="C827" s="28">
        <v>1</v>
      </c>
      <c r="D827" s="28" t="s">
        <v>1280</v>
      </c>
      <c r="E827" s="41" t="s">
        <v>1525</v>
      </c>
      <c r="F827" s="25" t="s">
        <v>109</v>
      </c>
      <c r="G827" s="25"/>
      <c r="H827" s="24" t="s">
        <v>230</v>
      </c>
      <c r="I827" s="24" t="s">
        <v>230</v>
      </c>
      <c r="J827" s="28">
        <v>1</v>
      </c>
      <c r="K827" s="28"/>
      <c r="L827" s="41" t="s">
        <v>1526</v>
      </c>
      <c r="M827" s="46"/>
    </row>
    <row r="828" ht="150" spans="2:13">
      <c r="B828" s="28">
        <f t="shared" si="15"/>
        <v>23777</v>
      </c>
      <c r="C828" s="28">
        <v>1</v>
      </c>
      <c r="D828" s="28" t="s">
        <v>1281</v>
      </c>
      <c r="E828" s="41" t="s">
        <v>1527</v>
      </c>
      <c r="F828" s="25" t="s">
        <v>109</v>
      </c>
      <c r="G828" s="25"/>
      <c r="H828" s="24" t="s">
        <v>230</v>
      </c>
      <c r="I828" s="24" t="s">
        <v>230</v>
      </c>
      <c r="J828" s="28">
        <v>1</v>
      </c>
      <c r="K828" s="28"/>
      <c r="L828" s="41" t="s">
        <v>1528</v>
      </c>
      <c r="M828" s="46"/>
    </row>
    <row r="829" ht="150" spans="2:13">
      <c r="B829" s="28">
        <f t="shared" si="15"/>
        <v>23778</v>
      </c>
      <c r="C829" s="28">
        <v>1</v>
      </c>
      <c r="D829" s="28" t="s">
        <v>1282</v>
      </c>
      <c r="E829" s="41" t="s">
        <v>1529</v>
      </c>
      <c r="F829" s="25" t="s">
        <v>109</v>
      </c>
      <c r="G829" s="25"/>
      <c r="H829" s="24" t="s">
        <v>230</v>
      </c>
      <c r="I829" s="24" t="s">
        <v>230</v>
      </c>
      <c r="J829" s="28">
        <v>1</v>
      </c>
      <c r="K829" s="28"/>
      <c r="L829" s="41" t="s">
        <v>1530</v>
      </c>
      <c r="M829" s="46"/>
    </row>
    <row r="830" ht="150" spans="2:13">
      <c r="B830" s="28">
        <f t="shared" si="15"/>
        <v>23779</v>
      </c>
      <c r="C830" s="28">
        <v>1</v>
      </c>
      <c r="D830" s="28" t="s">
        <v>1283</v>
      </c>
      <c r="E830" s="41" t="s">
        <v>1531</v>
      </c>
      <c r="F830" s="25" t="s">
        <v>109</v>
      </c>
      <c r="G830" s="25"/>
      <c r="H830" s="24" t="s">
        <v>230</v>
      </c>
      <c r="I830" s="24" t="s">
        <v>230</v>
      </c>
      <c r="J830" s="28">
        <v>1</v>
      </c>
      <c r="K830" s="28"/>
      <c r="L830" s="41" t="s">
        <v>1532</v>
      </c>
      <c r="M830" s="46"/>
    </row>
    <row r="831" ht="150" spans="2:13">
      <c r="B831" s="28">
        <f t="shared" si="15"/>
        <v>23780</v>
      </c>
      <c r="C831" s="28">
        <v>1</v>
      </c>
      <c r="D831" s="28" t="s">
        <v>1284</v>
      </c>
      <c r="E831" s="41" t="s">
        <v>1533</v>
      </c>
      <c r="F831" s="25" t="s">
        <v>109</v>
      </c>
      <c r="G831" s="25"/>
      <c r="H831" s="24" t="s">
        <v>230</v>
      </c>
      <c r="I831" s="24" t="s">
        <v>230</v>
      </c>
      <c r="J831" s="28">
        <v>1</v>
      </c>
      <c r="K831" s="28"/>
      <c r="L831" s="41" t="s">
        <v>1534</v>
      </c>
      <c r="M831" s="46"/>
    </row>
    <row r="832" ht="150" spans="2:13">
      <c r="B832" s="28">
        <f t="shared" si="15"/>
        <v>23781</v>
      </c>
      <c r="C832" s="28">
        <v>1</v>
      </c>
      <c r="D832" s="28" t="s">
        <v>1285</v>
      </c>
      <c r="E832" s="41" t="s">
        <v>1535</v>
      </c>
      <c r="F832" s="25" t="s">
        <v>109</v>
      </c>
      <c r="G832" s="25"/>
      <c r="H832" s="24" t="s">
        <v>230</v>
      </c>
      <c r="I832" s="24" t="s">
        <v>230</v>
      </c>
      <c r="J832" s="28">
        <v>1</v>
      </c>
      <c r="K832" s="28"/>
      <c r="L832" s="41" t="s">
        <v>1536</v>
      </c>
      <c r="M832" s="46"/>
    </row>
    <row r="833" ht="150" spans="2:14">
      <c r="B833" s="28">
        <f t="shared" si="15"/>
        <v>23782</v>
      </c>
      <c r="C833" s="28">
        <v>1</v>
      </c>
      <c r="D833" s="28" t="s">
        <v>1537</v>
      </c>
      <c r="E833" s="41" t="s">
        <v>1538</v>
      </c>
      <c r="F833" s="25" t="s">
        <v>109</v>
      </c>
      <c r="G833" s="25"/>
      <c r="H833" s="24" t="s">
        <v>230</v>
      </c>
      <c r="I833" s="24" t="s">
        <v>230</v>
      </c>
      <c r="J833" s="28">
        <v>1</v>
      </c>
      <c r="K833" s="28"/>
      <c r="L833" s="41" t="s">
        <v>1539</v>
      </c>
      <c r="M833" s="46"/>
    </row>
    <row r="834" ht="150" spans="2:14">
      <c r="B834" s="28">
        <f t="shared" si="15"/>
        <v>23783</v>
      </c>
      <c r="C834" s="28">
        <v>1</v>
      </c>
      <c r="D834" s="28" t="s">
        <v>1540</v>
      </c>
      <c r="E834" s="41" t="s">
        <v>1541</v>
      </c>
      <c r="F834" s="25" t="s">
        <v>109</v>
      </c>
      <c r="G834" s="25"/>
      <c r="H834" s="24" t="s">
        <v>230</v>
      </c>
      <c r="I834" s="24" t="s">
        <v>230</v>
      </c>
      <c r="J834" s="28">
        <v>1</v>
      </c>
      <c r="K834" s="28"/>
      <c r="L834" s="41" t="s">
        <v>1542</v>
      </c>
      <c r="M834" s="46"/>
    </row>
    <row r="835" ht="138" spans="2:14">
      <c r="B835" s="28">
        <f t="shared" si="15"/>
        <v>23784</v>
      </c>
      <c r="C835" s="28">
        <v>1</v>
      </c>
      <c r="D835" s="28" t="s">
        <v>1543</v>
      </c>
      <c r="E835" s="41" t="s">
        <v>1544</v>
      </c>
      <c r="F835" s="25" t="s">
        <v>109</v>
      </c>
      <c r="G835" s="25"/>
      <c r="H835" s="24" t="s">
        <v>230</v>
      </c>
      <c r="I835" s="24" t="s">
        <v>230</v>
      </c>
      <c r="J835" s="28">
        <v>1</v>
      </c>
      <c r="K835" s="28"/>
      <c r="L835" s="41" t="s">
        <v>1545</v>
      </c>
      <c r="M835" s="46"/>
    </row>
    <row r="836" ht="75" spans="2:14">
      <c r="B836" s="28">
        <f t="shared" si="15"/>
        <v>23785</v>
      </c>
      <c r="C836" s="28">
        <v>1</v>
      </c>
      <c r="D836" s="28" t="s">
        <v>1546</v>
      </c>
      <c r="E836" s="41" t="s">
        <v>1547</v>
      </c>
      <c r="F836" s="25" t="s">
        <v>109</v>
      </c>
      <c r="G836" s="25"/>
      <c r="H836" s="24" t="s">
        <v>172</v>
      </c>
      <c r="I836" s="24" t="s">
        <v>172</v>
      </c>
      <c r="J836" s="28">
        <v>1</v>
      </c>
      <c r="K836" s="28"/>
      <c r="L836" s="41" t="s">
        <v>1548</v>
      </c>
      <c r="M836" s="46"/>
      <c r="N836" s="60"/>
    </row>
    <row r="837" ht="75" spans="2:14">
      <c r="B837" s="28">
        <f t="shared" si="15"/>
        <v>23786</v>
      </c>
      <c r="C837" s="28">
        <v>1</v>
      </c>
      <c r="D837" s="28" t="s">
        <v>1549</v>
      </c>
      <c r="E837" s="41" t="s">
        <v>1550</v>
      </c>
      <c r="F837" s="25" t="s">
        <v>109</v>
      </c>
      <c r="G837" s="25"/>
      <c r="H837" s="24" t="s">
        <v>172</v>
      </c>
      <c r="I837" s="24" t="s">
        <v>172</v>
      </c>
      <c r="J837" s="28">
        <v>1</v>
      </c>
      <c r="K837" s="28"/>
      <c r="L837" s="41" t="s">
        <v>1551</v>
      </c>
      <c r="M837" s="46"/>
      <c r="N837" s="60"/>
    </row>
    <row r="838" ht="75" spans="2:14">
      <c r="B838" s="28">
        <f t="shared" si="15"/>
        <v>23787</v>
      </c>
      <c r="C838" s="28">
        <v>1</v>
      </c>
      <c r="D838" s="28" t="s">
        <v>1552</v>
      </c>
      <c r="E838" s="41" t="s">
        <v>1553</v>
      </c>
      <c r="F838" s="25" t="s">
        <v>109</v>
      </c>
      <c r="G838" s="25"/>
      <c r="H838" s="24" t="s">
        <v>172</v>
      </c>
      <c r="I838" s="24" t="s">
        <v>172</v>
      </c>
      <c r="J838" s="28">
        <v>1</v>
      </c>
      <c r="K838" s="28"/>
      <c r="L838" s="41" t="s">
        <v>1554</v>
      </c>
      <c r="M838" s="46"/>
      <c r="N838" s="60"/>
    </row>
    <row r="839" ht="75" spans="2:14">
      <c r="B839" s="28">
        <f t="shared" si="15"/>
        <v>23788</v>
      </c>
      <c r="C839" s="28">
        <v>1</v>
      </c>
      <c r="D839" s="28" t="s">
        <v>1555</v>
      </c>
      <c r="E839" s="41" t="s">
        <v>1556</v>
      </c>
      <c r="F839" s="25" t="s">
        <v>109</v>
      </c>
      <c r="G839" s="25"/>
      <c r="H839" s="24" t="s">
        <v>172</v>
      </c>
      <c r="I839" s="24" t="s">
        <v>172</v>
      </c>
      <c r="J839" s="28">
        <v>1</v>
      </c>
      <c r="K839" s="28"/>
      <c r="L839" s="41" t="s">
        <v>1557</v>
      </c>
      <c r="M839" s="46"/>
      <c r="N839" s="60"/>
    </row>
    <row r="840" ht="18.75" spans="2:14">
      <c r="B840" s="28">
        <f t="shared" si="15"/>
        <v>23789</v>
      </c>
      <c r="C840" s="28">
        <v>1</v>
      </c>
      <c r="D840" s="28" t="s">
        <v>440</v>
      </c>
      <c r="E840" s="41" t="s">
        <v>1558</v>
      </c>
      <c r="F840" s="25" t="s">
        <v>109</v>
      </c>
      <c r="G840" s="25"/>
      <c r="H840" s="24" t="s">
        <v>230</v>
      </c>
      <c r="I840" s="24" t="s">
        <v>172</v>
      </c>
      <c r="J840" s="28">
        <v>1</v>
      </c>
      <c r="K840" s="28"/>
      <c r="L840" s="41"/>
      <c r="M840" s="46"/>
      <c r="N840" s="60"/>
    </row>
    <row r="841" ht="18.75" spans="2:14"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45"/>
      <c r="M841" s="46"/>
    </row>
    <row r="842" ht="18.75" spans="2:14">
      <c r="B842" s="39" t="s">
        <v>1559</v>
      </c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6"/>
      <c r="N842" s="67"/>
    </row>
    <row r="843" ht="18.75" spans="2:14">
      <c r="B843" s="28">
        <v>40064</v>
      </c>
      <c r="C843" s="28">
        <v>1</v>
      </c>
      <c r="D843" s="28" t="s">
        <v>440</v>
      </c>
      <c r="E843" s="28" t="s">
        <v>441</v>
      </c>
      <c r="F843" s="28" t="s">
        <v>109</v>
      </c>
      <c r="G843" s="28"/>
      <c r="H843" s="28" t="s">
        <v>172</v>
      </c>
      <c r="I843" s="28" t="s">
        <v>230</v>
      </c>
      <c r="J843" s="28">
        <v>1</v>
      </c>
      <c r="K843" s="28"/>
      <c r="L843" s="28"/>
      <c r="M843" s="46"/>
    </row>
    <row r="844" ht="18.75" spans="2:14">
      <c r="B844" s="28">
        <f t="shared" ref="B844:B907" si="16">B843+C843</f>
        <v>40065</v>
      </c>
      <c r="C844" s="28">
        <v>1</v>
      </c>
      <c r="D844" s="28" t="s">
        <v>443</v>
      </c>
      <c r="E844" s="41" t="s">
        <v>444</v>
      </c>
      <c r="F844" s="28" t="s">
        <v>109</v>
      </c>
      <c r="G844" s="28"/>
      <c r="H844" s="28" t="s">
        <v>172</v>
      </c>
      <c r="I844" s="28" t="s">
        <v>172</v>
      </c>
      <c r="J844" s="28">
        <v>1</v>
      </c>
      <c r="K844" s="28"/>
      <c r="L844" s="28"/>
      <c r="M844" s="46"/>
    </row>
    <row r="845" ht="18.75" spans="2:14">
      <c r="B845" s="28">
        <f t="shared" si="16"/>
        <v>40066</v>
      </c>
      <c r="C845" s="28">
        <v>1</v>
      </c>
      <c r="D845" s="28" t="s">
        <v>446</v>
      </c>
      <c r="E845" s="41" t="s">
        <v>447</v>
      </c>
      <c r="F845" s="28" t="s">
        <v>109</v>
      </c>
      <c r="G845" s="28"/>
      <c r="H845" s="28" t="s">
        <v>230</v>
      </c>
      <c r="I845" s="28" t="s">
        <v>172</v>
      </c>
      <c r="J845" s="28">
        <v>1</v>
      </c>
      <c r="K845" s="28"/>
      <c r="L845" s="28"/>
      <c r="M845" s="46"/>
      <c r="N845" s="67"/>
    </row>
    <row r="846" ht="18.75" spans="2:14">
      <c r="B846" s="28">
        <f t="shared" si="16"/>
        <v>40067</v>
      </c>
      <c r="C846" s="28">
        <v>6</v>
      </c>
      <c r="D846" s="28" t="s">
        <v>452</v>
      </c>
      <c r="E846" s="41" t="s">
        <v>453</v>
      </c>
      <c r="F846" s="28" t="s">
        <v>109</v>
      </c>
      <c r="G846" s="28"/>
      <c r="H846" s="28" t="s">
        <v>454</v>
      </c>
      <c r="I846" s="28" t="s">
        <v>454</v>
      </c>
      <c r="J846" s="28">
        <v>1</v>
      </c>
      <c r="K846" s="28"/>
      <c r="L846" s="28"/>
      <c r="M846" s="46"/>
    </row>
    <row r="847" s="34" customFormat="1" ht="18.75" spans="2:14">
      <c r="B847" s="44">
        <f t="shared" si="16"/>
        <v>40073</v>
      </c>
      <c r="C847" s="44">
        <v>1</v>
      </c>
      <c r="D847" s="44" t="s">
        <v>455</v>
      </c>
      <c r="E847" s="48" t="s">
        <v>456</v>
      </c>
      <c r="F847" s="44" t="s">
        <v>109</v>
      </c>
      <c r="G847" s="44"/>
      <c r="H847" s="44" t="s">
        <v>172</v>
      </c>
      <c r="I847" s="44" t="s">
        <v>172</v>
      </c>
      <c r="J847" s="44">
        <v>1</v>
      </c>
      <c r="K847" s="44"/>
      <c r="L847" s="44"/>
      <c r="M847" s="47"/>
      <c r="N847" s="67" t="s">
        <v>1560</v>
      </c>
    </row>
    <row r="848" s="34" customFormat="1" ht="45" customHeight="1" spans="2:14">
      <c r="B848" s="44">
        <f t="shared" si="16"/>
        <v>40074</v>
      </c>
      <c r="C848" s="44">
        <v>1</v>
      </c>
      <c r="D848" s="44" t="s">
        <v>457</v>
      </c>
      <c r="E848" s="48" t="s">
        <v>458</v>
      </c>
      <c r="F848" s="44" t="s">
        <v>109</v>
      </c>
      <c r="G848" s="44"/>
      <c r="H848" s="44" t="s">
        <v>172</v>
      </c>
      <c r="I848" s="44" t="s">
        <v>172</v>
      </c>
      <c r="J848" s="44">
        <v>1</v>
      </c>
      <c r="K848" s="44"/>
      <c r="L848" s="44"/>
      <c r="M848" s="47"/>
      <c r="N848" s="67" t="s">
        <v>1560</v>
      </c>
    </row>
    <row r="849" ht="18.75" spans="2:13">
      <c r="B849" s="28">
        <f t="shared" si="16"/>
        <v>40075</v>
      </c>
      <c r="C849" s="49">
        <v>4</v>
      </c>
      <c r="D849" s="28" t="s">
        <v>459</v>
      </c>
      <c r="E849" s="41" t="s">
        <v>460</v>
      </c>
      <c r="F849" s="28" t="s">
        <v>109</v>
      </c>
      <c r="G849" s="28"/>
      <c r="H849" s="28" t="s">
        <v>151</v>
      </c>
      <c r="I849" s="28" t="s">
        <v>151</v>
      </c>
      <c r="J849" s="28">
        <v>1</v>
      </c>
      <c r="K849" s="28"/>
      <c r="L849" s="28"/>
      <c r="M849" s="46"/>
    </row>
    <row r="850" ht="18.75" spans="2:13">
      <c r="B850" s="28">
        <f t="shared" si="16"/>
        <v>40079</v>
      </c>
      <c r="C850" s="28">
        <v>1</v>
      </c>
      <c r="D850" s="28" t="s">
        <v>937</v>
      </c>
      <c r="E850" s="41" t="s">
        <v>938</v>
      </c>
      <c r="F850" s="28" t="s">
        <v>109</v>
      </c>
      <c r="G850" s="28"/>
      <c r="H850" s="28" t="s">
        <v>172</v>
      </c>
      <c r="I850" s="28" t="s">
        <v>172</v>
      </c>
      <c r="J850" s="28">
        <v>1</v>
      </c>
      <c r="K850" s="28"/>
      <c r="L850" s="28"/>
      <c r="M850" s="46"/>
    </row>
    <row r="851" ht="18.75" spans="2:13">
      <c r="B851" s="28">
        <f t="shared" si="16"/>
        <v>40080</v>
      </c>
      <c r="C851" s="28">
        <v>1</v>
      </c>
      <c r="D851" s="28" t="s">
        <v>1561</v>
      </c>
      <c r="E851" s="41" t="s">
        <v>950</v>
      </c>
      <c r="F851" s="28" t="s">
        <v>109</v>
      </c>
      <c r="G851" s="28"/>
      <c r="H851" s="28" t="s">
        <v>172</v>
      </c>
      <c r="I851" s="28" t="s">
        <v>172</v>
      </c>
      <c r="J851" s="28">
        <v>1</v>
      </c>
      <c r="K851" s="28"/>
      <c r="L851" s="28"/>
      <c r="M851" s="46"/>
    </row>
    <row r="852" ht="18.75" spans="2:13">
      <c r="B852" s="28">
        <f t="shared" si="16"/>
        <v>40081</v>
      </c>
      <c r="C852" s="28">
        <v>1</v>
      </c>
      <c r="D852" s="28" t="s">
        <v>1562</v>
      </c>
      <c r="E852" s="41" t="s">
        <v>950</v>
      </c>
      <c r="F852" s="28" t="s">
        <v>109</v>
      </c>
      <c r="G852" s="28"/>
      <c r="H852" s="28" t="s">
        <v>172</v>
      </c>
      <c r="I852" s="28" t="s">
        <v>172</v>
      </c>
      <c r="J852" s="28">
        <v>1</v>
      </c>
      <c r="K852" s="28"/>
      <c r="L852" s="28"/>
      <c r="M852" s="46"/>
    </row>
    <row r="853" ht="18.75" spans="2:13">
      <c r="B853" s="28">
        <f t="shared" si="16"/>
        <v>40082</v>
      </c>
      <c r="C853" s="28">
        <v>1</v>
      </c>
      <c r="D853" s="28" t="s">
        <v>1563</v>
      </c>
      <c r="E853" s="41" t="s">
        <v>950</v>
      </c>
      <c r="F853" s="28" t="s">
        <v>109</v>
      </c>
      <c r="G853" s="28"/>
      <c r="H853" s="28" t="s">
        <v>172</v>
      </c>
      <c r="I853" s="28" t="s">
        <v>172</v>
      </c>
      <c r="J853" s="28">
        <v>1</v>
      </c>
      <c r="K853" s="28"/>
      <c r="L853" s="28"/>
      <c r="M853" s="46"/>
    </row>
    <row r="854" ht="18.75" spans="2:13">
      <c r="B854" s="28">
        <f t="shared" si="16"/>
        <v>40083</v>
      </c>
      <c r="C854" s="28">
        <v>1</v>
      </c>
      <c r="D854" s="28" t="s">
        <v>1564</v>
      </c>
      <c r="E854" s="41" t="s">
        <v>950</v>
      </c>
      <c r="F854" s="28" t="s">
        <v>109</v>
      </c>
      <c r="G854" s="28"/>
      <c r="H854" s="28" t="s">
        <v>172</v>
      </c>
      <c r="I854" s="28" t="s">
        <v>172</v>
      </c>
      <c r="J854" s="28">
        <v>1</v>
      </c>
      <c r="K854" s="28"/>
      <c r="L854" s="28"/>
      <c r="M854" s="46"/>
    </row>
    <row r="855" ht="18.75" spans="2:13">
      <c r="B855" s="28">
        <f t="shared" si="16"/>
        <v>40084</v>
      </c>
      <c r="C855" s="28">
        <v>1</v>
      </c>
      <c r="D855" s="28" t="s">
        <v>1565</v>
      </c>
      <c r="E855" s="41" t="s">
        <v>950</v>
      </c>
      <c r="F855" s="28" t="s">
        <v>109</v>
      </c>
      <c r="G855" s="28"/>
      <c r="H855" s="28" t="s">
        <v>172</v>
      </c>
      <c r="I855" s="28" t="s">
        <v>172</v>
      </c>
      <c r="J855" s="28">
        <v>1</v>
      </c>
      <c r="K855" s="28"/>
      <c r="L855" s="28"/>
      <c r="M855" s="46"/>
    </row>
    <row r="856" ht="18.75" spans="2:13">
      <c r="B856" s="28">
        <f t="shared" si="16"/>
        <v>40085</v>
      </c>
      <c r="C856" s="28">
        <v>1</v>
      </c>
      <c r="D856" s="28" t="s">
        <v>1566</v>
      </c>
      <c r="E856" s="41" t="s">
        <v>950</v>
      </c>
      <c r="F856" s="28" t="s">
        <v>109</v>
      </c>
      <c r="G856" s="28"/>
      <c r="H856" s="28" t="s">
        <v>172</v>
      </c>
      <c r="I856" s="28" t="s">
        <v>172</v>
      </c>
      <c r="J856" s="28">
        <v>1</v>
      </c>
      <c r="K856" s="28"/>
      <c r="L856" s="28"/>
      <c r="M856" s="46"/>
    </row>
    <row r="857" ht="18.75" spans="2:13">
      <c r="B857" s="28">
        <f t="shared" si="16"/>
        <v>40086</v>
      </c>
      <c r="C857" s="28">
        <v>64</v>
      </c>
      <c r="D857" s="28" t="s">
        <v>1567</v>
      </c>
      <c r="E857" s="41" t="s">
        <v>950</v>
      </c>
      <c r="F857" s="28" t="s">
        <v>109</v>
      </c>
      <c r="G857" s="25"/>
      <c r="H857" s="28" t="s">
        <v>454</v>
      </c>
      <c r="I857" s="28" t="s">
        <v>454</v>
      </c>
      <c r="J857" s="28">
        <v>1</v>
      </c>
      <c r="K857" s="28"/>
      <c r="L857" s="28"/>
      <c r="M857" s="46"/>
    </row>
    <row r="858" ht="37.5" spans="2:13">
      <c r="B858" s="28">
        <f t="shared" si="16"/>
        <v>40150</v>
      </c>
      <c r="C858" s="28">
        <v>1</v>
      </c>
      <c r="D858" s="28" t="s">
        <v>1568</v>
      </c>
      <c r="E858" s="41" t="s">
        <v>1569</v>
      </c>
      <c r="F858" s="28" t="s">
        <v>109</v>
      </c>
      <c r="G858" s="25" t="s">
        <v>1570</v>
      </c>
      <c r="H858" s="28" t="s">
        <v>230</v>
      </c>
      <c r="I858" s="28" t="s">
        <v>230</v>
      </c>
      <c r="J858" s="28">
        <v>1</v>
      </c>
      <c r="K858" s="28"/>
      <c r="L858" s="28"/>
      <c r="M858" s="46"/>
    </row>
    <row r="859" ht="37.5" spans="2:13">
      <c r="B859" s="28">
        <f t="shared" si="16"/>
        <v>40151</v>
      </c>
      <c r="C859" s="28">
        <v>1</v>
      </c>
      <c r="D859" s="28" t="s">
        <v>1571</v>
      </c>
      <c r="E859" s="41" t="s">
        <v>1572</v>
      </c>
      <c r="F859" s="28" t="s">
        <v>109</v>
      </c>
      <c r="G859" s="25" t="s">
        <v>1573</v>
      </c>
      <c r="H859" s="28" t="s">
        <v>230</v>
      </c>
      <c r="I859" s="28" t="s">
        <v>230</v>
      </c>
      <c r="J859" s="28">
        <v>1</v>
      </c>
      <c r="K859" s="28"/>
      <c r="L859" s="28"/>
      <c r="M859" s="46"/>
    </row>
    <row r="860" ht="37.5" spans="2:13">
      <c r="B860" s="28">
        <f t="shared" si="16"/>
        <v>40152</v>
      </c>
      <c r="C860" s="28">
        <v>1</v>
      </c>
      <c r="D860" s="28" t="s">
        <v>1574</v>
      </c>
      <c r="E860" s="41" t="s">
        <v>1575</v>
      </c>
      <c r="F860" s="28" t="s">
        <v>109</v>
      </c>
      <c r="G860" s="25" t="s">
        <v>1576</v>
      </c>
      <c r="H860" s="28" t="s">
        <v>230</v>
      </c>
      <c r="I860" s="28" t="s">
        <v>230</v>
      </c>
      <c r="J860" s="28">
        <v>1</v>
      </c>
      <c r="K860" s="28"/>
      <c r="L860" s="28"/>
      <c r="M860" s="46"/>
    </row>
    <row r="861" ht="18.75" spans="2:13">
      <c r="B861" s="28">
        <f t="shared" si="16"/>
        <v>40153</v>
      </c>
      <c r="C861" s="28">
        <v>1</v>
      </c>
      <c r="D861" s="28" t="s">
        <v>1577</v>
      </c>
      <c r="E861" s="41" t="s">
        <v>1578</v>
      </c>
      <c r="F861" s="28" t="s">
        <v>109</v>
      </c>
      <c r="G861" s="25"/>
      <c r="H861" s="28" t="s">
        <v>182</v>
      </c>
      <c r="I861" s="28" t="s">
        <v>172</v>
      </c>
      <c r="J861" s="28">
        <v>0.1</v>
      </c>
      <c r="K861" s="28"/>
      <c r="L861" s="28"/>
      <c r="M861" s="46"/>
    </row>
    <row r="862" ht="18.75" spans="2:13">
      <c r="B862" s="28">
        <f t="shared" si="16"/>
        <v>40154</v>
      </c>
      <c r="C862" s="28">
        <v>1</v>
      </c>
      <c r="D862" s="28" t="s">
        <v>1579</v>
      </c>
      <c r="E862" s="41" t="s">
        <v>1580</v>
      </c>
      <c r="F862" s="28" t="s">
        <v>109</v>
      </c>
      <c r="G862" s="25" t="s">
        <v>263</v>
      </c>
      <c r="H862" s="28" t="s">
        <v>182</v>
      </c>
      <c r="I862" s="28" t="s">
        <v>468</v>
      </c>
      <c r="J862" s="28">
        <v>0.1</v>
      </c>
      <c r="K862" s="28"/>
      <c r="L862" s="28"/>
      <c r="M862" s="46"/>
    </row>
    <row r="863" ht="18.75" spans="2:13">
      <c r="B863" s="28">
        <f t="shared" si="16"/>
        <v>40155</v>
      </c>
      <c r="C863" s="28">
        <v>1</v>
      </c>
      <c r="D863" s="28" t="s">
        <v>1581</v>
      </c>
      <c r="E863" s="41" t="s">
        <v>1582</v>
      </c>
      <c r="F863" s="28" t="s">
        <v>109</v>
      </c>
      <c r="G863" s="25"/>
      <c r="H863" s="28" t="s">
        <v>230</v>
      </c>
      <c r="I863" s="28" t="s">
        <v>230</v>
      </c>
      <c r="J863" s="28">
        <v>1</v>
      </c>
      <c r="K863" s="28"/>
      <c r="L863" s="41" t="s">
        <v>1583</v>
      </c>
      <c r="M863" s="46"/>
    </row>
    <row r="864" ht="37.5" spans="2:13">
      <c r="B864" s="28">
        <f t="shared" si="16"/>
        <v>40156</v>
      </c>
      <c r="C864" s="28">
        <v>1</v>
      </c>
      <c r="D864" s="28" t="s">
        <v>1584</v>
      </c>
      <c r="E864" s="41" t="s">
        <v>1585</v>
      </c>
      <c r="F864" s="28" t="s">
        <v>109</v>
      </c>
      <c r="G864" s="25"/>
      <c r="H864" s="28" t="s">
        <v>230</v>
      </c>
      <c r="I864" s="28" t="s">
        <v>230</v>
      </c>
      <c r="J864" s="28">
        <v>1</v>
      </c>
      <c r="K864" s="28"/>
      <c r="L864" s="41" t="s">
        <v>1586</v>
      </c>
      <c r="M864" s="46"/>
    </row>
    <row r="865" ht="18.75" spans="2:13">
      <c r="B865" s="28">
        <f t="shared" si="16"/>
        <v>40157</v>
      </c>
      <c r="C865" s="28">
        <v>1</v>
      </c>
      <c r="D865" s="28" t="s">
        <v>1587</v>
      </c>
      <c r="E865" s="41" t="s">
        <v>1087</v>
      </c>
      <c r="F865" s="28" t="s">
        <v>109</v>
      </c>
      <c r="G865" s="25"/>
      <c r="H865" s="28" t="s">
        <v>230</v>
      </c>
      <c r="I865" s="28" t="s">
        <v>230</v>
      </c>
      <c r="J865" s="28">
        <v>1</v>
      </c>
      <c r="K865" s="28"/>
      <c r="L865" s="28"/>
      <c r="M865" s="46"/>
    </row>
    <row r="866" ht="18.75" spans="2:13">
      <c r="B866" s="28">
        <f t="shared" si="16"/>
        <v>40158</v>
      </c>
      <c r="C866" s="28">
        <v>1</v>
      </c>
      <c r="D866" s="28" t="s">
        <v>1588</v>
      </c>
      <c r="E866" s="41" t="s">
        <v>1589</v>
      </c>
      <c r="F866" s="28" t="s">
        <v>109</v>
      </c>
      <c r="G866" s="25"/>
      <c r="H866" s="28" t="s">
        <v>230</v>
      </c>
      <c r="I866" s="28" t="s">
        <v>230</v>
      </c>
      <c r="J866" s="28">
        <v>1</v>
      </c>
      <c r="K866" s="28"/>
      <c r="L866" s="41" t="s">
        <v>1590</v>
      </c>
      <c r="M866" s="46"/>
    </row>
    <row r="867" ht="37.5" spans="2:13">
      <c r="B867" s="28">
        <f t="shared" si="16"/>
        <v>40159</v>
      </c>
      <c r="C867" s="28">
        <v>1</v>
      </c>
      <c r="D867" s="28" t="s">
        <v>1591</v>
      </c>
      <c r="E867" s="41" t="s">
        <v>1592</v>
      </c>
      <c r="F867" s="28" t="s">
        <v>109</v>
      </c>
      <c r="G867" s="25"/>
      <c r="H867" s="28" t="s">
        <v>230</v>
      </c>
      <c r="I867" s="28" t="s">
        <v>230</v>
      </c>
      <c r="J867" s="28">
        <v>1</v>
      </c>
      <c r="K867" s="28"/>
      <c r="L867" s="41" t="s">
        <v>1593</v>
      </c>
      <c r="M867" s="46"/>
    </row>
    <row r="868" ht="112.5" spans="2:13">
      <c r="B868" s="28">
        <f t="shared" si="16"/>
        <v>40160</v>
      </c>
      <c r="C868" s="28">
        <v>1</v>
      </c>
      <c r="D868" s="28" t="s">
        <v>1594</v>
      </c>
      <c r="E868" s="41" t="s">
        <v>1595</v>
      </c>
      <c r="F868" s="28" t="s">
        <v>109</v>
      </c>
      <c r="G868" s="25"/>
      <c r="H868" s="28" t="s">
        <v>230</v>
      </c>
      <c r="I868" s="28" t="s">
        <v>230</v>
      </c>
      <c r="J868" s="28">
        <v>1</v>
      </c>
      <c r="K868" s="28"/>
      <c r="L868" s="41" t="s">
        <v>1596</v>
      </c>
      <c r="M868" s="46"/>
    </row>
    <row r="869" ht="18.75" spans="2:13">
      <c r="B869" s="28">
        <f t="shared" si="16"/>
        <v>40161</v>
      </c>
      <c r="C869" s="28">
        <v>1</v>
      </c>
      <c r="D869" s="28" t="s">
        <v>1597</v>
      </c>
      <c r="E869" s="41" t="s">
        <v>1598</v>
      </c>
      <c r="F869" s="28" t="s">
        <v>109</v>
      </c>
      <c r="G869" s="25" t="s">
        <v>256</v>
      </c>
      <c r="H869" s="28" t="s">
        <v>182</v>
      </c>
      <c r="I869" s="28" t="s">
        <v>468</v>
      </c>
      <c r="J869" s="28">
        <v>0.1</v>
      </c>
      <c r="K869" s="28"/>
      <c r="L869" s="28"/>
      <c r="M869" s="46"/>
    </row>
    <row r="870" ht="18.75" spans="2:13">
      <c r="B870" s="28">
        <f t="shared" si="16"/>
        <v>40162</v>
      </c>
      <c r="C870" s="28">
        <v>1</v>
      </c>
      <c r="D870" s="28" t="s">
        <v>1599</v>
      </c>
      <c r="E870" s="41" t="s">
        <v>1600</v>
      </c>
      <c r="F870" s="28" t="s">
        <v>109</v>
      </c>
      <c r="G870" s="25" t="s">
        <v>263</v>
      </c>
      <c r="H870" s="28" t="s">
        <v>182</v>
      </c>
      <c r="I870" s="28" t="s">
        <v>468</v>
      </c>
      <c r="J870" s="28">
        <v>0.1</v>
      </c>
      <c r="K870" s="28"/>
      <c r="L870" s="28"/>
      <c r="M870" s="46"/>
    </row>
    <row r="871" ht="18.75" spans="2:13">
      <c r="B871" s="28">
        <f t="shared" si="16"/>
        <v>40163</v>
      </c>
      <c r="C871" s="28">
        <v>1</v>
      </c>
      <c r="D871" s="28" t="s">
        <v>1601</v>
      </c>
      <c r="E871" s="41" t="s">
        <v>1602</v>
      </c>
      <c r="F871" s="28" t="s">
        <v>109</v>
      </c>
      <c r="G871" s="25" t="s">
        <v>164</v>
      </c>
      <c r="H871" s="28" t="s">
        <v>182</v>
      </c>
      <c r="I871" s="28" t="s">
        <v>468</v>
      </c>
      <c r="J871" s="28">
        <v>0.1</v>
      </c>
      <c r="K871" s="28"/>
      <c r="L871" s="28"/>
      <c r="M871" s="46"/>
    </row>
    <row r="872" ht="18.75" spans="2:13">
      <c r="B872" s="28">
        <f t="shared" si="16"/>
        <v>40164</v>
      </c>
      <c r="C872" s="28">
        <v>1</v>
      </c>
      <c r="D872" s="28" t="s">
        <v>1603</v>
      </c>
      <c r="E872" s="41" t="s">
        <v>1604</v>
      </c>
      <c r="F872" s="28" t="s">
        <v>109</v>
      </c>
      <c r="G872" s="25" t="s">
        <v>164</v>
      </c>
      <c r="H872" s="28" t="s">
        <v>182</v>
      </c>
      <c r="I872" s="28" t="s">
        <v>468</v>
      </c>
      <c r="J872" s="28">
        <v>0.01</v>
      </c>
      <c r="K872" s="28"/>
      <c r="L872" s="28"/>
      <c r="M872" s="46"/>
    </row>
    <row r="873" ht="18.75" spans="2:13">
      <c r="B873" s="28">
        <f t="shared" si="16"/>
        <v>40165</v>
      </c>
      <c r="C873" s="28">
        <v>1</v>
      </c>
      <c r="D873" s="28" t="s">
        <v>1605</v>
      </c>
      <c r="E873" s="41" t="s">
        <v>1606</v>
      </c>
      <c r="F873" s="28" t="s">
        <v>109</v>
      </c>
      <c r="G873" s="25" t="s">
        <v>256</v>
      </c>
      <c r="H873" s="28" t="s">
        <v>182</v>
      </c>
      <c r="I873" s="28" t="s">
        <v>468</v>
      </c>
      <c r="J873" s="28">
        <v>0.1</v>
      </c>
      <c r="K873" s="28"/>
      <c r="L873" s="55" t="s">
        <v>1607</v>
      </c>
      <c r="M873" s="46"/>
    </row>
    <row r="874" ht="18.75" spans="2:13">
      <c r="B874" s="28">
        <f t="shared" si="16"/>
        <v>40166</v>
      </c>
      <c r="C874" s="28">
        <v>1</v>
      </c>
      <c r="D874" s="28" t="s">
        <v>1608</v>
      </c>
      <c r="E874" s="41" t="s">
        <v>1609</v>
      </c>
      <c r="F874" s="28" t="s">
        <v>109</v>
      </c>
      <c r="G874" s="25" t="s">
        <v>263</v>
      </c>
      <c r="H874" s="28" t="s">
        <v>182</v>
      </c>
      <c r="I874" s="28" t="s">
        <v>468</v>
      </c>
      <c r="J874" s="28">
        <v>0.1</v>
      </c>
      <c r="K874" s="28"/>
      <c r="L874" s="68"/>
      <c r="M874" s="46"/>
    </row>
    <row r="875" ht="18.75" spans="2:13">
      <c r="B875" s="28">
        <f t="shared" si="16"/>
        <v>40167</v>
      </c>
      <c r="C875" s="28">
        <v>1</v>
      </c>
      <c r="D875" s="28" t="s">
        <v>1610</v>
      </c>
      <c r="E875" s="41" t="s">
        <v>1611</v>
      </c>
      <c r="F875" s="28" t="s">
        <v>109</v>
      </c>
      <c r="G875" s="25" t="s">
        <v>164</v>
      </c>
      <c r="H875" s="28" t="s">
        <v>182</v>
      </c>
      <c r="I875" s="28" t="s">
        <v>468</v>
      </c>
      <c r="J875" s="28">
        <v>0.001</v>
      </c>
      <c r="K875" s="28"/>
      <c r="L875" s="24"/>
      <c r="M875" s="46"/>
    </row>
    <row r="876" ht="18.75" spans="2:13">
      <c r="B876" s="28">
        <f t="shared" si="16"/>
        <v>40168</v>
      </c>
      <c r="C876" s="28">
        <v>1</v>
      </c>
      <c r="D876" s="28" t="s">
        <v>1612</v>
      </c>
      <c r="E876" s="41" t="s">
        <v>1613</v>
      </c>
      <c r="F876" s="28" t="s">
        <v>109</v>
      </c>
      <c r="G876" s="25" t="s">
        <v>256</v>
      </c>
      <c r="H876" s="28" t="s">
        <v>182</v>
      </c>
      <c r="I876" s="28" t="s">
        <v>468</v>
      </c>
      <c r="J876" s="28">
        <v>0.1</v>
      </c>
      <c r="K876" s="28"/>
      <c r="L876" s="55" t="s">
        <v>1614</v>
      </c>
      <c r="M876" s="46"/>
    </row>
    <row r="877" ht="18.75" spans="2:13">
      <c r="B877" s="28">
        <f t="shared" si="16"/>
        <v>40169</v>
      </c>
      <c r="C877" s="28">
        <v>1</v>
      </c>
      <c r="D877" s="28" t="s">
        <v>1615</v>
      </c>
      <c r="E877" s="41" t="s">
        <v>1616</v>
      </c>
      <c r="F877" s="28" t="s">
        <v>109</v>
      </c>
      <c r="G877" s="25" t="s">
        <v>263</v>
      </c>
      <c r="H877" s="28" t="s">
        <v>182</v>
      </c>
      <c r="I877" s="28" t="s">
        <v>468</v>
      </c>
      <c r="J877" s="28">
        <v>0.1</v>
      </c>
      <c r="K877" s="28"/>
      <c r="L877" s="68"/>
      <c r="M877" s="46"/>
    </row>
    <row r="878" ht="18.75" spans="2:13">
      <c r="B878" s="28">
        <f t="shared" si="16"/>
        <v>40170</v>
      </c>
      <c r="C878" s="28">
        <v>1</v>
      </c>
      <c r="D878" s="28" t="s">
        <v>1617</v>
      </c>
      <c r="E878" s="41" t="s">
        <v>1618</v>
      </c>
      <c r="F878" s="28" t="s">
        <v>109</v>
      </c>
      <c r="G878" s="25" t="s">
        <v>164</v>
      </c>
      <c r="H878" s="28" t="s">
        <v>182</v>
      </c>
      <c r="I878" s="28" t="s">
        <v>468</v>
      </c>
      <c r="J878" s="28">
        <v>0.001</v>
      </c>
      <c r="K878" s="28"/>
      <c r="L878" s="24"/>
      <c r="M878" s="46"/>
    </row>
    <row r="879" ht="18.75" spans="2:13">
      <c r="B879" s="28">
        <f t="shared" si="16"/>
        <v>40171</v>
      </c>
      <c r="C879" s="28">
        <v>1</v>
      </c>
      <c r="D879" s="28" t="s">
        <v>1619</v>
      </c>
      <c r="E879" s="41" t="s">
        <v>1620</v>
      </c>
      <c r="F879" s="28" t="s">
        <v>109</v>
      </c>
      <c r="G879" s="25" t="s">
        <v>256</v>
      </c>
      <c r="H879" s="28" t="s">
        <v>182</v>
      </c>
      <c r="I879" s="28" t="s">
        <v>468</v>
      </c>
      <c r="J879" s="28">
        <v>0.1</v>
      </c>
      <c r="K879" s="28"/>
      <c r="L879" s="55" t="s">
        <v>1621</v>
      </c>
      <c r="M879" s="46"/>
    </row>
    <row r="880" ht="18.75" spans="2:13">
      <c r="B880" s="28">
        <f t="shared" si="16"/>
        <v>40172</v>
      </c>
      <c r="C880" s="28">
        <v>1</v>
      </c>
      <c r="D880" s="28" t="s">
        <v>1622</v>
      </c>
      <c r="E880" s="41" t="s">
        <v>1623</v>
      </c>
      <c r="F880" s="28" t="s">
        <v>109</v>
      </c>
      <c r="G880" s="25" t="s">
        <v>263</v>
      </c>
      <c r="H880" s="28" t="s">
        <v>182</v>
      </c>
      <c r="I880" s="28" t="s">
        <v>468</v>
      </c>
      <c r="J880" s="28">
        <v>0.1</v>
      </c>
      <c r="K880" s="28"/>
      <c r="L880" s="68"/>
      <c r="M880" s="46"/>
    </row>
    <row r="881" ht="18.75" spans="2:13">
      <c r="B881" s="28">
        <f t="shared" si="16"/>
        <v>40173</v>
      </c>
      <c r="C881" s="28">
        <v>1</v>
      </c>
      <c r="D881" s="28" t="s">
        <v>1624</v>
      </c>
      <c r="E881" s="41" t="s">
        <v>1625</v>
      </c>
      <c r="F881" s="28" t="s">
        <v>109</v>
      </c>
      <c r="G881" s="25" t="s">
        <v>164</v>
      </c>
      <c r="H881" s="28" t="s">
        <v>182</v>
      </c>
      <c r="I881" s="28" t="s">
        <v>468</v>
      </c>
      <c r="J881" s="28">
        <v>0.001</v>
      </c>
      <c r="K881" s="28"/>
      <c r="L881" s="24"/>
      <c r="M881" s="46"/>
    </row>
    <row r="882" ht="18.75" spans="2:13">
      <c r="B882" s="28">
        <f t="shared" si="16"/>
        <v>40174</v>
      </c>
      <c r="C882" s="28">
        <v>1</v>
      </c>
      <c r="D882" s="28" t="s">
        <v>1626</v>
      </c>
      <c r="E882" s="41" t="s">
        <v>1627</v>
      </c>
      <c r="F882" s="28" t="s">
        <v>109</v>
      </c>
      <c r="G882" s="25" t="s">
        <v>256</v>
      </c>
      <c r="H882" s="28" t="s">
        <v>182</v>
      </c>
      <c r="I882" s="28" t="s">
        <v>468</v>
      </c>
      <c r="J882" s="28">
        <v>0.1</v>
      </c>
      <c r="K882" s="28"/>
      <c r="L882" s="55" t="s">
        <v>1628</v>
      </c>
      <c r="M882" s="46"/>
    </row>
    <row r="883" ht="18.75" spans="2:13">
      <c r="B883" s="28">
        <f t="shared" si="16"/>
        <v>40175</v>
      </c>
      <c r="C883" s="28">
        <v>1</v>
      </c>
      <c r="D883" s="28" t="s">
        <v>1629</v>
      </c>
      <c r="E883" s="41" t="s">
        <v>1630</v>
      </c>
      <c r="F883" s="28" t="s">
        <v>109</v>
      </c>
      <c r="G883" s="25" t="s">
        <v>263</v>
      </c>
      <c r="H883" s="28" t="s">
        <v>182</v>
      </c>
      <c r="I883" s="28" t="s">
        <v>468</v>
      </c>
      <c r="J883" s="28">
        <v>0.1</v>
      </c>
      <c r="K883" s="28"/>
      <c r="L883" s="68"/>
      <c r="M883" s="46"/>
    </row>
    <row r="884" ht="18.75" spans="2:13">
      <c r="B884" s="28">
        <f t="shared" si="16"/>
        <v>40176</v>
      </c>
      <c r="C884" s="28">
        <v>1</v>
      </c>
      <c r="D884" s="28" t="s">
        <v>1631</v>
      </c>
      <c r="E884" s="41" t="s">
        <v>1632</v>
      </c>
      <c r="F884" s="28" t="s">
        <v>109</v>
      </c>
      <c r="G884" s="25" t="s">
        <v>164</v>
      </c>
      <c r="H884" s="28" t="s">
        <v>182</v>
      </c>
      <c r="I884" s="28" t="s">
        <v>468</v>
      </c>
      <c r="J884" s="28">
        <v>0.001</v>
      </c>
      <c r="K884" s="28"/>
      <c r="L884" s="24"/>
      <c r="M884" s="46"/>
    </row>
    <row r="885" ht="18.75" spans="2:13">
      <c r="B885" s="28">
        <f t="shared" si="16"/>
        <v>40177</v>
      </c>
      <c r="C885" s="28">
        <v>1</v>
      </c>
      <c r="D885" s="28" t="s">
        <v>1633</v>
      </c>
      <c r="E885" s="41" t="s">
        <v>1634</v>
      </c>
      <c r="F885" s="28" t="s">
        <v>109</v>
      </c>
      <c r="G885" s="25" t="s">
        <v>256</v>
      </c>
      <c r="H885" s="28" t="s">
        <v>182</v>
      </c>
      <c r="I885" s="28" t="s">
        <v>468</v>
      </c>
      <c r="J885" s="28">
        <v>0.1</v>
      </c>
      <c r="K885" s="28"/>
      <c r="L885" s="55" t="s">
        <v>1635</v>
      </c>
      <c r="M885" s="46"/>
    </row>
    <row r="886" ht="18.75" spans="2:13">
      <c r="B886" s="28">
        <f t="shared" si="16"/>
        <v>40178</v>
      </c>
      <c r="C886" s="28">
        <v>1</v>
      </c>
      <c r="D886" s="28" t="s">
        <v>1636</v>
      </c>
      <c r="E886" s="41" t="s">
        <v>1637</v>
      </c>
      <c r="F886" s="28" t="s">
        <v>109</v>
      </c>
      <c r="G886" s="25" t="s">
        <v>263</v>
      </c>
      <c r="H886" s="28" t="s">
        <v>182</v>
      </c>
      <c r="I886" s="28" t="s">
        <v>468</v>
      </c>
      <c r="J886" s="28">
        <v>0.1</v>
      </c>
      <c r="K886" s="28"/>
      <c r="L886" s="68"/>
      <c r="M886" s="46"/>
    </row>
    <row r="887" ht="18.75" spans="2:13">
      <c r="B887" s="28">
        <f t="shared" si="16"/>
        <v>40179</v>
      </c>
      <c r="C887" s="28">
        <v>1</v>
      </c>
      <c r="D887" s="28" t="s">
        <v>1638</v>
      </c>
      <c r="E887" s="41" t="s">
        <v>1639</v>
      </c>
      <c r="F887" s="28" t="s">
        <v>109</v>
      </c>
      <c r="G887" s="25" t="s">
        <v>164</v>
      </c>
      <c r="H887" s="28" t="s">
        <v>182</v>
      </c>
      <c r="I887" s="28" t="s">
        <v>468</v>
      </c>
      <c r="J887" s="28">
        <v>0.001</v>
      </c>
      <c r="K887" s="28"/>
      <c r="L887" s="24"/>
      <c r="M887" s="46"/>
    </row>
    <row r="888" ht="18.75" spans="2:13">
      <c r="B888" s="28">
        <f t="shared" si="16"/>
        <v>40180</v>
      </c>
      <c r="C888" s="28">
        <v>1</v>
      </c>
      <c r="D888" s="28" t="s">
        <v>1640</v>
      </c>
      <c r="E888" s="41" t="s">
        <v>1641</v>
      </c>
      <c r="F888" s="28" t="s">
        <v>109</v>
      </c>
      <c r="G888" s="25" t="s">
        <v>256</v>
      </c>
      <c r="H888" s="28" t="s">
        <v>182</v>
      </c>
      <c r="I888" s="28" t="s">
        <v>468</v>
      </c>
      <c r="J888" s="28">
        <v>0.1</v>
      </c>
      <c r="K888" s="28"/>
      <c r="L888" s="55" t="s">
        <v>1642</v>
      </c>
      <c r="M888" s="46"/>
    </row>
    <row r="889" ht="18.75" spans="2:13">
      <c r="B889" s="28">
        <f t="shared" si="16"/>
        <v>40181</v>
      </c>
      <c r="C889" s="28">
        <v>1</v>
      </c>
      <c r="D889" s="28" t="s">
        <v>1643</v>
      </c>
      <c r="E889" s="41" t="s">
        <v>1644</v>
      </c>
      <c r="F889" s="28" t="s">
        <v>109</v>
      </c>
      <c r="G889" s="25" t="s">
        <v>263</v>
      </c>
      <c r="H889" s="28" t="s">
        <v>182</v>
      </c>
      <c r="I889" s="28" t="s">
        <v>468</v>
      </c>
      <c r="J889" s="28">
        <v>0.1</v>
      </c>
      <c r="K889" s="28"/>
      <c r="L889" s="68"/>
      <c r="M889" s="46"/>
    </row>
    <row r="890" ht="18.75" spans="2:13">
      <c r="B890" s="28">
        <f t="shared" si="16"/>
        <v>40182</v>
      </c>
      <c r="C890" s="28">
        <v>1</v>
      </c>
      <c r="D890" s="28" t="s">
        <v>1645</v>
      </c>
      <c r="E890" s="41" t="s">
        <v>1646</v>
      </c>
      <c r="F890" s="28" t="s">
        <v>109</v>
      </c>
      <c r="G890" s="25" t="s">
        <v>164</v>
      </c>
      <c r="H890" s="28" t="s">
        <v>182</v>
      </c>
      <c r="I890" s="28" t="s">
        <v>468</v>
      </c>
      <c r="J890" s="28">
        <v>0.001</v>
      </c>
      <c r="K890" s="28"/>
      <c r="L890" s="24"/>
      <c r="M890" s="46"/>
    </row>
    <row r="891" ht="18.75" spans="2:13">
      <c r="B891" s="28">
        <f t="shared" si="16"/>
        <v>40183</v>
      </c>
      <c r="C891" s="28">
        <v>1</v>
      </c>
      <c r="D891" s="28" t="s">
        <v>1647</v>
      </c>
      <c r="E891" s="41" t="s">
        <v>1648</v>
      </c>
      <c r="F891" s="28" t="s">
        <v>109</v>
      </c>
      <c r="G891" s="25" t="s">
        <v>256</v>
      </c>
      <c r="H891" s="28" t="s">
        <v>182</v>
      </c>
      <c r="I891" s="28" t="s">
        <v>468</v>
      </c>
      <c r="J891" s="28">
        <v>0.1</v>
      </c>
      <c r="K891" s="28"/>
      <c r="L891" s="55" t="s">
        <v>1649</v>
      </c>
      <c r="M891" s="46"/>
    </row>
    <row r="892" ht="18.75" spans="2:13">
      <c r="B892" s="28">
        <f t="shared" si="16"/>
        <v>40184</v>
      </c>
      <c r="C892" s="28">
        <v>1</v>
      </c>
      <c r="D892" s="28" t="s">
        <v>1650</v>
      </c>
      <c r="E892" s="41" t="s">
        <v>1651</v>
      </c>
      <c r="F892" s="28" t="s">
        <v>109</v>
      </c>
      <c r="G892" s="25" t="s">
        <v>263</v>
      </c>
      <c r="H892" s="28" t="s">
        <v>182</v>
      </c>
      <c r="I892" s="28" t="s">
        <v>468</v>
      </c>
      <c r="J892" s="28">
        <v>0.1</v>
      </c>
      <c r="K892" s="28"/>
      <c r="L892" s="68"/>
      <c r="M892" s="46"/>
    </row>
    <row r="893" ht="18.75" spans="2:13">
      <c r="B893" s="28">
        <f t="shared" si="16"/>
        <v>40185</v>
      </c>
      <c r="C893" s="28">
        <v>1</v>
      </c>
      <c r="D893" s="28" t="s">
        <v>1652</v>
      </c>
      <c r="E893" s="41" t="s">
        <v>1653</v>
      </c>
      <c r="F893" s="28" t="s">
        <v>109</v>
      </c>
      <c r="G893" s="25" t="s">
        <v>164</v>
      </c>
      <c r="H893" s="28" t="s">
        <v>182</v>
      </c>
      <c r="I893" s="28" t="s">
        <v>468</v>
      </c>
      <c r="J893" s="28">
        <v>0.001</v>
      </c>
      <c r="K893" s="28"/>
      <c r="L893" s="24"/>
      <c r="M893" s="46"/>
    </row>
    <row r="894" ht="18.75" spans="2:13">
      <c r="B894" s="28">
        <f t="shared" si="16"/>
        <v>40186</v>
      </c>
      <c r="C894" s="28">
        <v>1</v>
      </c>
      <c r="D894" s="28" t="s">
        <v>1654</v>
      </c>
      <c r="E894" s="41" t="s">
        <v>1655</v>
      </c>
      <c r="F894" s="28" t="s">
        <v>109</v>
      </c>
      <c r="G894" s="25" t="s">
        <v>256</v>
      </c>
      <c r="H894" s="28" t="s">
        <v>182</v>
      </c>
      <c r="I894" s="28" t="s">
        <v>468</v>
      </c>
      <c r="J894" s="28">
        <v>0.1</v>
      </c>
      <c r="K894" s="28"/>
      <c r="L894" s="55" t="s">
        <v>1656</v>
      </c>
      <c r="M894" s="46"/>
    </row>
    <row r="895" ht="18.75" spans="2:13">
      <c r="B895" s="28">
        <f t="shared" si="16"/>
        <v>40187</v>
      </c>
      <c r="C895" s="28">
        <v>1</v>
      </c>
      <c r="D895" s="28" t="s">
        <v>1657</v>
      </c>
      <c r="E895" s="41" t="s">
        <v>1658</v>
      </c>
      <c r="F895" s="28" t="s">
        <v>109</v>
      </c>
      <c r="G895" s="25" t="s">
        <v>263</v>
      </c>
      <c r="H895" s="28" t="s">
        <v>182</v>
      </c>
      <c r="I895" s="28" t="s">
        <v>468</v>
      </c>
      <c r="J895" s="28">
        <v>0.1</v>
      </c>
      <c r="K895" s="28"/>
      <c r="L895" s="68"/>
      <c r="M895" s="46"/>
    </row>
    <row r="896" ht="18.75" spans="2:13">
      <c r="B896" s="28">
        <f t="shared" si="16"/>
        <v>40188</v>
      </c>
      <c r="C896" s="28">
        <v>1</v>
      </c>
      <c r="D896" s="28" t="s">
        <v>1659</v>
      </c>
      <c r="E896" s="41" t="s">
        <v>1660</v>
      </c>
      <c r="F896" s="28" t="s">
        <v>109</v>
      </c>
      <c r="G896" s="25" t="s">
        <v>164</v>
      </c>
      <c r="H896" s="28" t="s">
        <v>182</v>
      </c>
      <c r="I896" s="28" t="s">
        <v>468</v>
      </c>
      <c r="J896" s="28">
        <v>0.001</v>
      </c>
      <c r="K896" s="28"/>
      <c r="L896" s="24"/>
      <c r="M896" s="46"/>
    </row>
    <row r="897" ht="18.75" spans="2:14">
      <c r="B897" s="28">
        <f t="shared" si="16"/>
        <v>40189</v>
      </c>
      <c r="C897" s="28">
        <v>1</v>
      </c>
      <c r="D897" s="28" t="s">
        <v>1661</v>
      </c>
      <c r="E897" s="41" t="s">
        <v>1662</v>
      </c>
      <c r="F897" s="28" t="s">
        <v>109</v>
      </c>
      <c r="G897" s="25" t="s">
        <v>256</v>
      </c>
      <c r="H897" s="28" t="s">
        <v>182</v>
      </c>
      <c r="I897" s="28" t="s">
        <v>468</v>
      </c>
      <c r="J897" s="28">
        <v>0.1</v>
      </c>
      <c r="K897" s="28"/>
      <c r="L897" s="28"/>
      <c r="M897" s="46"/>
    </row>
    <row r="898" ht="18.75" spans="2:14">
      <c r="B898" s="28">
        <f t="shared" si="16"/>
        <v>40190</v>
      </c>
      <c r="C898" s="28">
        <v>1</v>
      </c>
      <c r="D898" s="28" t="s">
        <v>1663</v>
      </c>
      <c r="E898" s="41" t="s">
        <v>1664</v>
      </c>
      <c r="F898" s="28" t="s">
        <v>109</v>
      </c>
      <c r="G898" s="25" t="s">
        <v>155</v>
      </c>
      <c r="H898" s="28" t="s">
        <v>182</v>
      </c>
      <c r="I898" s="28" t="s">
        <v>172</v>
      </c>
      <c r="J898" s="28">
        <v>0.1</v>
      </c>
      <c r="K898" s="28"/>
      <c r="L898" s="28"/>
      <c r="M898" s="46"/>
    </row>
    <row r="899" ht="18.75" spans="2:14">
      <c r="B899" s="28">
        <f t="shared" si="16"/>
        <v>40191</v>
      </c>
      <c r="C899" s="28">
        <v>1</v>
      </c>
      <c r="D899" s="28" t="s">
        <v>1665</v>
      </c>
      <c r="E899" s="41" t="s">
        <v>1666</v>
      </c>
      <c r="F899" s="28" t="s">
        <v>109</v>
      </c>
      <c r="G899" s="25" t="s">
        <v>155</v>
      </c>
      <c r="H899" s="28" t="s">
        <v>182</v>
      </c>
      <c r="I899" s="28" t="s">
        <v>172</v>
      </c>
      <c r="J899" s="28">
        <v>0.1</v>
      </c>
      <c r="K899" s="28"/>
      <c r="L899" s="28"/>
      <c r="M899" s="46"/>
    </row>
    <row r="900" ht="18.75" spans="2:14">
      <c r="B900" s="28">
        <f t="shared" si="16"/>
        <v>40192</v>
      </c>
      <c r="C900" s="28">
        <v>1</v>
      </c>
      <c r="D900" s="28" t="s">
        <v>1667</v>
      </c>
      <c r="E900" s="41" t="s">
        <v>1668</v>
      </c>
      <c r="F900" s="28" t="s">
        <v>109</v>
      </c>
      <c r="G900" s="25" t="s">
        <v>155</v>
      </c>
      <c r="H900" s="28" t="s">
        <v>182</v>
      </c>
      <c r="I900" s="28" t="s">
        <v>172</v>
      </c>
      <c r="J900" s="28">
        <v>0.1</v>
      </c>
      <c r="K900" s="28"/>
      <c r="L900" s="28"/>
      <c r="M900" s="46"/>
    </row>
    <row r="901" ht="18.75" spans="2:14">
      <c r="B901" s="28">
        <f t="shared" si="16"/>
        <v>40193</v>
      </c>
      <c r="C901" s="28">
        <v>1</v>
      </c>
      <c r="D901" s="28" t="s">
        <v>1669</v>
      </c>
      <c r="E901" s="41" t="s">
        <v>1670</v>
      </c>
      <c r="F901" s="28" t="s">
        <v>109</v>
      </c>
      <c r="G901" s="25" t="s">
        <v>155</v>
      </c>
      <c r="H901" s="28" t="s">
        <v>182</v>
      </c>
      <c r="I901" s="28" t="s">
        <v>172</v>
      </c>
      <c r="J901" s="28">
        <v>0.1</v>
      </c>
      <c r="K901" s="28"/>
      <c r="L901" s="28"/>
      <c r="M901" s="46"/>
    </row>
    <row r="902" ht="18.75" spans="2:14">
      <c r="B902" s="28">
        <f t="shared" si="16"/>
        <v>40194</v>
      </c>
      <c r="C902" s="28">
        <v>1</v>
      </c>
      <c r="D902" s="28" t="s">
        <v>1671</v>
      </c>
      <c r="E902" s="41" t="s">
        <v>1672</v>
      </c>
      <c r="F902" s="28" t="s">
        <v>109</v>
      </c>
      <c r="G902" s="25" t="s">
        <v>155</v>
      </c>
      <c r="H902" s="28" t="s">
        <v>182</v>
      </c>
      <c r="I902" s="28" t="s">
        <v>172</v>
      </c>
      <c r="J902" s="28">
        <v>0.1</v>
      </c>
      <c r="K902" s="28"/>
      <c r="L902" s="28"/>
      <c r="M902" s="46"/>
    </row>
    <row r="903" ht="18.75" spans="2:14">
      <c r="B903" s="28">
        <f t="shared" si="16"/>
        <v>40195</v>
      </c>
      <c r="C903" s="28">
        <v>1</v>
      </c>
      <c r="D903" s="28" t="s">
        <v>1673</v>
      </c>
      <c r="E903" s="41" t="s">
        <v>1674</v>
      </c>
      <c r="F903" s="28" t="s">
        <v>109</v>
      </c>
      <c r="G903" s="25" t="s">
        <v>155</v>
      </c>
      <c r="H903" s="28" t="s">
        <v>182</v>
      </c>
      <c r="I903" s="28" t="s">
        <v>172</v>
      </c>
      <c r="J903" s="28">
        <v>0.1</v>
      </c>
      <c r="K903" s="28"/>
      <c r="L903" s="28"/>
      <c r="M903" s="46"/>
    </row>
    <row r="904" ht="18.75" spans="2:14">
      <c r="B904" s="28">
        <f t="shared" si="16"/>
        <v>40196</v>
      </c>
      <c r="C904" s="28">
        <v>1</v>
      </c>
      <c r="D904" s="28" t="s">
        <v>1675</v>
      </c>
      <c r="E904" s="41" t="s">
        <v>1676</v>
      </c>
      <c r="F904" s="28" t="s">
        <v>109</v>
      </c>
      <c r="G904" s="25" t="s">
        <v>155</v>
      </c>
      <c r="H904" s="28" t="s">
        <v>182</v>
      </c>
      <c r="I904" s="28" t="s">
        <v>172</v>
      </c>
      <c r="J904" s="28">
        <v>0.1</v>
      </c>
      <c r="K904" s="28"/>
      <c r="L904" s="28"/>
      <c r="M904" s="46"/>
    </row>
    <row r="905" ht="18.75" spans="2:14">
      <c r="B905" s="28">
        <f t="shared" si="16"/>
        <v>40197</v>
      </c>
      <c r="C905" s="28">
        <v>1</v>
      </c>
      <c r="D905" s="28" t="s">
        <v>1677</v>
      </c>
      <c r="E905" s="41" t="s">
        <v>1678</v>
      </c>
      <c r="F905" s="28" t="s">
        <v>109</v>
      </c>
      <c r="G905" s="25" t="s">
        <v>155</v>
      </c>
      <c r="H905" s="28" t="s">
        <v>182</v>
      </c>
      <c r="I905" s="28" t="s">
        <v>172</v>
      </c>
      <c r="J905" s="28">
        <v>0.1</v>
      </c>
      <c r="K905" s="28"/>
      <c r="L905" s="28"/>
      <c r="M905" s="46"/>
    </row>
    <row r="906" ht="18.75" spans="2:14">
      <c r="B906" s="28">
        <f t="shared" si="16"/>
        <v>40198</v>
      </c>
      <c r="C906" s="28">
        <v>1</v>
      </c>
      <c r="D906" s="28" t="s">
        <v>221</v>
      </c>
      <c r="E906" s="41" t="s">
        <v>222</v>
      </c>
      <c r="F906" s="28" t="s">
        <v>109</v>
      </c>
      <c r="G906" s="25" t="s">
        <v>155</v>
      </c>
      <c r="H906" s="28" t="s">
        <v>182</v>
      </c>
      <c r="I906" s="28" t="s">
        <v>172</v>
      </c>
      <c r="J906" s="28">
        <v>0.1</v>
      </c>
      <c r="K906" s="28"/>
      <c r="L906" s="28"/>
      <c r="M906" s="46"/>
    </row>
    <row r="907" s="34" customFormat="1" ht="37.5" spans="2:14">
      <c r="B907" s="44">
        <f t="shared" si="16"/>
        <v>40199</v>
      </c>
      <c r="C907" s="44">
        <v>1</v>
      </c>
      <c r="D907" s="44" t="s">
        <v>1679</v>
      </c>
      <c r="E907" s="48" t="s">
        <v>1680</v>
      </c>
      <c r="F907" s="44" t="s">
        <v>109</v>
      </c>
      <c r="G907" s="66" t="s">
        <v>155</v>
      </c>
      <c r="H907" s="44" t="s">
        <v>230</v>
      </c>
      <c r="I907" s="44" t="s">
        <v>230</v>
      </c>
      <c r="J907" s="44">
        <v>1</v>
      </c>
      <c r="K907" s="44"/>
      <c r="L907" s="44"/>
      <c r="M907" s="47" t="s">
        <v>1681</v>
      </c>
      <c r="N907" s="67" t="s">
        <v>1682</v>
      </c>
    </row>
    <row r="908" s="34" customFormat="1" ht="37.5" spans="2:14">
      <c r="B908" s="44">
        <f t="shared" ref="B908:B928" si="17">B907+C907</f>
        <v>40200</v>
      </c>
      <c r="C908" s="44">
        <v>1</v>
      </c>
      <c r="D908" s="44" t="s">
        <v>1683</v>
      </c>
      <c r="E908" s="48" t="s">
        <v>1684</v>
      </c>
      <c r="F908" s="44" t="s">
        <v>109</v>
      </c>
      <c r="G908" s="66" t="s">
        <v>155</v>
      </c>
      <c r="H908" s="44" t="s">
        <v>230</v>
      </c>
      <c r="I908" s="44" t="s">
        <v>230</v>
      </c>
      <c r="J908" s="44">
        <v>1</v>
      </c>
      <c r="K908" s="44"/>
      <c r="L908" s="44"/>
      <c r="M908" s="47" t="s">
        <v>1685</v>
      </c>
      <c r="N908" s="67" t="s">
        <v>1686</v>
      </c>
    </row>
    <row r="909" ht="18.75" spans="2:14">
      <c r="B909" s="28">
        <f t="shared" si="17"/>
        <v>40201</v>
      </c>
      <c r="C909" s="28">
        <v>1</v>
      </c>
      <c r="D909" s="28" t="s">
        <v>223</v>
      </c>
      <c r="E909" s="41" t="s">
        <v>224</v>
      </c>
      <c r="F909" s="28" t="s">
        <v>109</v>
      </c>
      <c r="G909" s="25" t="s">
        <v>155</v>
      </c>
      <c r="H909" s="28" t="s">
        <v>182</v>
      </c>
      <c r="I909" s="28" t="s">
        <v>172</v>
      </c>
      <c r="J909" s="28">
        <v>1</v>
      </c>
      <c r="K909" s="28"/>
      <c r="L909" s="28"/>
      <c r="M909" s="46"/>
    </row>
    <row r="910" ht="18.75" spans="2:14">
      <c r="B910" s="28">
        <f t="shared" si="17"/>
        <v>40202</v>
      </c>
      <c r="C910" s="28">
        <v>1</v>
      </c>
      <c r="D910" s="28" t="s">
        <v>1687</v>
      </c>
      <c r="E910" s="41" t="s">
        <v>1688</v>
      </c>
      <c r="F910" s="28" t="s">
        <v>109</v>
      </c>
      <c r="G910" s="25" t="s">
        <v>1441</v>
      </c>
      <c r="H910" s="28" t="s">
        <v>182</v>
      </c>
      <c r="I910" s="28" t="s">
        <v>172</v>
      </c>
      <c r="J910" s="28">
        <v>0.1</v>
      </c>
      <c r="K910" s="28"/>
      <c r="L910" s="28"/>
      <c r="M910" s="46"/>
    </row>
    <row r="911" ht="18.75" spans="2:14">
      <c r="B911" s="28">
        <f t="shared" si="17"/>
        <v>40203</v>
      </c>
      <c r="C911" s="28">
        <v>1</v>
      </c>
      <c r="D911" s="28" t="s">
        <v>685</v>
      </c>
      <c r="E911" s="41" t="s">
        <v>686</v>
      </c>
      <c r="F911" s="28" t="s">
        <v>109</v>
      </c>
      <c r="G911" s="25"/>
      <c r="H911" s="28" t="s">
        <v>230</v>
      </c>
      <c r="I911" s="28" t="s">
        <v>230</v>
      </c>
      <c r="J911" s="28">
        <v>1</v>
      </c>
      <c r="K911" s="28"/>
      <c r="L911" s="28"/>
      <c r="M911" s="46"/>
    </row>
    <row r="912" ht="18.75" spans="2:14">
      <c r="B912" s="28">
        <f t="shared" si="17"/>
        <v>40204</v>
      </c>
      <c r="C912" s="28">
        <v>1</v>
      </c>
      <c r="D912" s="28" t="s">
        <v>1689</v>
      </c>
      <c r="E912" s="41" t="s">
        <v>667</v>
      </c>
      <c r="F912" s="28" t="s">
        <v>109</v>
      </c>
      <c r="G912" s="25"/>
      <c r="H912" s="28" t="s">
        <v>172</v>
      </c>
      <c r="I912" s="28" t="s">
        <v>172</v>
      </c>
      <c r="J912" s="28">
        <v>1</v>
      </c>
      <c r="K912" s="28"/>
      <c r="L912" s="28"/>
      <c r="M912" s="46"/>
    </row>
    <row r="913" ht="18.75" spans="2:13">
      <c r="B913" s="28">
        <f t="shared" si="17"/>
        <v>40205</v>
      </c>
      <c r="C913" s="28">
        <v>1</v>
      </c>
      <c r="D913" s="28" t="s">
        <v>1690</v>
      </c>
      <c r="E913" s="41" t="s">
        <v>670</v>
      </c>
      <c r="F913" s="28" t="s">
        <v>109</v>
      </c>
      <c r="G913" s="25"/>
      <c r="H913" s="28" t="s">
        <v>172</v>
      </c>
      <c r="I913" s="28" t="s">
        <v>172</v>
      </c>
      <c r="J913" s="28">
        <v>1</v>
      </c>
      <c r="K913" s="28"/>
      <c r="L913" s="28"/>
      <c r="M913" s="46"/>
    </row>
    <row r="914" ht="18.75" spans="2:13">
      <c r="B914" s="28">
        <f t="shared" si="17"/>
        <v>40206</v>
      </c>
      <c r="C914" s="28">
        <v>1</v>
      </c>
      <c r="D914" s="28" t="s">
        <v>1691</v>
      </c>
      <c r="E914" s="41" t="s">
        <v>673</v>
      </c>
      <c r="F914" s="28" t="s">
        <v>109</v>
      </c>
      <c r="G914" s="25"/>
      <c r="H914" s="28" t="s">
        <v>172</v>
      </c>
      <c r="I914" s="28" t="s">
        <v>172</v>
      </c>
      <c r="J914" s="28">
        <v>1</v>
      </c>
      <c r="K914" s="28"/>
      <c r="L914" s="28"/>
      <c r="M914" s="46"/>
    </row>
    <row r="915" ht="18.75" spans="2:13">
      <c r="B915" s="28">
        <f t="shared" si="17"/>
        <v>40207</v>
      </c>
      <c r="C915" s="28">
        <v>1</v>
      </c>
      <c r="D915" s="28" t="s">
        <v>1692</v>
      </c>
      <c r="E915" s="41" t="s">
        <v>676</v>
      </c>
      <c r="F915" s="28" t="s">
        <v>109</v>
      </c>
      <c r="G915" s="25"/>
      <c r="H915" s="28" t="s">
        <v>172</v>
      </c>
      <c r="I915" s="28" t="s">
        <v>172</v>
      </c>
      <c r="J915" s="28">
        <v>1</v>
      </c>
      <c r="K915" s="28"/>
      <c r="L915" s="28"/>
      <c r="M915" s="46"/>
    </row>
    <row r="916" ht="18.75" spans="2:13">
      <c r="B916" s="28">
        <f t="shared" si="17"/>
        <v>40208</v>
      </c>
      <c r="C916" s="28">
        <v>1</v>
      </c>
      <c r="D916" s="28" t="s">
        <v>1693</v>
      </c>
      <c r="E916" s="41" t="s">
        <v>678</v>
      </c>
      <c r="F916" s="28" t="s">
        <v>109</v>
      </c>
      <c r="G916" s="25"/>
      <c r="H916" s="28" t="s">
        <v>172</v>
      </c>
      <c r="I916" s="28" t="s">
        <v>172</v>
      </c>
      <c r="J916" s="28">
        <v>1</v>
      </c>
      <c r="K916" s="28"/>
      <c r="L916" s="28"/>
      <c r="M916" s="46"/>
    </row>
    <row r="917" ht="18.75" spans="2:13">
      <c r="B917" s="28">
        <f t="shared" si="17"/>
        <v>40209</v>
      </c>
      <c r="C917" s="28">
        <v>1</v>
      </c>
      <c r="D917" s="28" t="s">
        <v>1694</v>
      </c>
      <c r="E917" s="41" t="s">
        <v>680</v>
      </c>
      <c r="F917" s="28" t="s">
        <v>109</v>
      </c>
      <c r="G917" s="25"/>
      <c r="H917" s="28" t="s">
        <v>172</v>
      </c>
      <c r="I917" s="28" t="s">
        <v>172</v>
      </c>
      <c r="J917" s="28">
        <v>1</v>
      </c>
      <c r="K917" s="28"/>
      <c r="L917" s="28"/>
      <c r="M917" s="46"/>
    </row>
    <row r="918" ht="37.5" spans="2:13">
      <c r="B918" s="28">
        <f t="shared" si="17"/>
        <v>40210</v>
      </c>
      <c r="C918" s="28">
        <v>1</v>
      </c>
      <c r="D918" s="28" t="s">
        <v>681</v>
      </c>
      <c r="E918" s="41" t="s">
        <v>682</v>
      </c>
      <c r="F918" s="28" t="s">
        <v>109</v>
      </c>
      <c r="G918" s="25"/>
      <c r="H918" s="28" t="s">
        <v>230</v>
      </c>
      <c r="I918" s="28" t="s">
        <v>230</v>
      </c>
      <c r="J918" s="28">
        <v>1</v>
      </c>
      <c r="K918" s="28"/>
      <c r="L918" s="28"/>
      <c r="M918" s="46"/>
    </row>
    <row r="919" ht="37.5" spans="2:13">
      <c r="B919" s="28">
        <f t="shared" si="17"/>
        <v>40211</v>
      </c>
      <c r="C919" s="28">
        <v>1</v>
      </c>
      <c r="D919" s="28" t="s">
        <v>683</v>
      </c>
      <c r="E919" s="41" t="s">
        <v>684</v>
      </c>
      <c r="F919" s="28" t="s">
        <v>109</v>
      </c>
      <c r="G919" s="25"/>
      <c r="H919" s="28" t="s">
        <v>230</v>
      </c>
      <c r="I919" s="28" t="s">
        <v>230</v>
      </c>
      <c r="J919" s="28">
        <v>1</v>
      </c>
      <c r="K919" s="28"/>
      <c r="L919" s="28"/>
      <c r="M919" s="46"/>
    </row>
    <row r="920" ht="18.75" spans="2:13">
      <c r="B920" s="28">
        <f t="shared" si="17"/>
        <v>40212</v>
      </c>
      <c r="C920" s="28">
        <v>1</v>
      </c>
      <c r="D920" s="28" t="s">
        <v>1695</v>
      </c>
      <c r="E920" s="41" t="s">
        <v>1696</v>
      </c>
      <c r="F920" s="28" t="s">
        <v>109</v>
      </c>
      <c r="G920" s="25"/>
      <c r="H920" s="28" t="s">
        <v>230</v>
      </c>
      <c r="I920" s="28" t="s">
        <v>230</v>
      </c>
      <c r="J920" s="28">
        <v>1</v>
      </c>
      <c r="K920" s="28"/>
      <c r="L920" s="28"/>
      <c r="M920" s="46"/>
    </row>
    <row r="921" ht="18.75" spans="2:13">
      <c r="B921" s="28">
        <f t="shared" si="17"/>
        <v>40213</v>
      </c>
      <c r="C921" s="28">
        <v>1</v>
      </c>
      <c r="D921" s="28" t="s">
        <v>1697</v>
      </c>
      <c r="E921" s="41" t="s">
        <v>1698</v>
      </c>
      <c r="F921" s="28" t="s">
        <v>109</v>
      </c>
      <c r="G921" s="25"/>
      <c r="H921" s="28" t="s">
        <v>230</v>
      </c>
      <c r="I921" s="28" t="s">
        <v>230</v>
      </c>
      <c r="J921" s="28">
        <v>1</v>
      </c>
      <c r="K921" s="28"/>
      <c r="L921" s="28"/>
      <c r="M921" s="46"/>
    </row>
    <row r="922" ht="18.75" spans="2:13">
      <c r="B922" s="28">
        <f t="shared" si="17"/>
        <v>40214</v>
      </c>
      <c r="C922" s="28">
        <v>1</v>
      </c>
      <c r="D922" s="28" t="s">
        <v>1699</v>
      </c>
      <c r="E922" s="41" t="s">
        <v>1700</v>
      </c>
      <c r="F922" s="28" t="s">
        <v>109</v>
      </c>
      <c r="G922" s="25"/>
      <c r="H922" s="28" t="s">
        <v>230</v>
      </c>
      <c r="I922" s="28" t="s">
        <v>230</v>
      </c>
      <c r="J922" s="28">
        <v>1</v>
      </c>
      <c r="K922" s="28"/>
      <c r="L922" s="28"/>
      <c r="M922" s="46"/>
    </row>
    <row r="923" ht="18.75" spans="2:13">
      <c r="B923" s="28">
        <f t="shared" si="17"/>
        <v>40215</v>
      </c>
      <c r="C923" s="28">
        <v>1</v>
      </c>
      <c r="D923" s="28" t="s">
        <v>1701</v>
      </c>
      <c r="E923" s="41" t="s">
        <v>1702</v>
      </c>
      <c r="F923" s="28" t="s">
        <v>109</v>
      </c>
      <c r="G923" s="25"/>
      <c r="H923" s="28" t="s">
        <v>230</v>
      </c>
      <c r="I923" s="28" t="s">
        <v>230</v>
      </c>
      <c r="J923" s="28">
        <v>1</v>
      </c>
      <c r="K923" s="28"/>
      <c r="L923" s="28"/>
      <c r="M923" s="46"/>
    </row>
    <row r="924" ht="18.75" spans="2:13">
      <c r="B924" s="28">
        <f t="shared" si="17"/>
        <v>40216</v>
      </c>
      <c r="C924" s="28">
        <v>1</v>
      </c>
      <c r="D924" s="28" t="s">
        <v>1703</v>
      </c>
      <c r="E924" s="41" t="s">
        <v>1704</v>
      </c>
      <c r="F924" s="28" t="s">
        <v>109</v>
      </c>
      <c r="G924" s="25"/>
      <c r="H924" s="28" t="s">
        <v>230</v>
      </c>
      <c r="I924" s="28" t="s">
        <v>230</v>
      </c>
      <c r="J924" s="28">
        <v>1</v>
      </c>
      <c r="K924" s="28"/>
      <c r="L924" s="28"/>
      <c r="M924" s="46"/>
    </row>
    <row r="925" ht="18.75" spans="2:13">
      <c r="B925" s="28">
        <f t="shared" si="17"/>
        <v>40217</v>
      </c>
      <c r="C925" s="28">
        <v>1</v>
      </c>
      <c r="D925" s="28" t="s">
        <v>1705</v>
      </c>
      <c r="E925" s="41" t="s">
        <v>1706</v>
      </c>
      <c r="F925" s="28" t="s">
        <v>109</v>
      </c>
      <c r="G925" s="25"/>
      <c r="H925" s="28" t="s">
        <v>230</v>
      </c>
      <c r="I925" s="28" t="s">
        <v>230</v>
      </c>
      <c r="J925" s="28">
        <v>1</v>
      </c>
      <c r="K925" s="28"/>
      <c r="L925" s="28"/>
      <c r="M925" s="46"/>
    </row>
    <row r="926" ht="18.75" spans="2:13">
      <c r="B926" s="28">
        <f t="shared" si="17"/>
        <v>40218</v>
      </c>
      <c r="C926" s="28">
        <v>1</v>
      </c>
      <c r="D926" s="28" t="s">
        <v>1707</v>
      </c>
      <c r="E926" s="41" t="s">
        <v>1708</v>
      </c>
      <c r="F926" s="28" t="s">
        <v>109</v>
      </c>
      <c r="G926" s="25"/>
      <c r="H926" s="28" t="s">
        <v>230</v>
      </c>
      <c r="I926" s="28" t="s">
        <v>230</v>
      </c>
      <c r="J926" s="28">
        <v>1</v>
      </c>
      <c r="K926" s="28"/>
      <c r="L926" s="28"/>
      <c r="M926" s="46"/>
    </row>
    <row r="927" ht="18.75" spans="2:13">
      <c r="B927" s="28">
        <f t="shared" si="17"/>
        <v>40219</v>
      </c>
      <c r="C927" s="28">
        <v>1</v>
      </c>
      <c r="D927" s="28" t="s">
        <v>1709</v>
      </c>
      <c r="E927" s="41" t="s">
        <v>1710</v>
      </c>
      <c r="F927" s="28" t="s">
        <v>109</v>
      </c>
      <c r="G927" s="25"/>
      <c r="H927" s="28" t="s">
        <v>230</v>
      </c>
      <c r="I927" s="28" t="s">
        <v>230</v>
      </c>
      <c r="J927" s="28">
        <v>1</v>
      </c>
      <c r="K927" s="28"/>
      <c r="L927" s="28"/>
      <c r="M927" s="46"/>
    </row>
    <row r="928" ht="18.75" spans="2:13">
      <c r="B928" s="28">
        <f t="shared" si="17"/>
        <v>40220</v>
      </c>
      <c r="C928" s="28">
        <v>1</v>
      </c>
      <c r="D928" s="28" t="s">
        <v>1711</v>
      </c>
      <c r="E928" s="41" t="s">
        <v>1712</v>
      </c>
      <c r="F928" s="28" t="s">
        <v>109</v>
      </c>
      <c r="G928" s="25"/>
      <c r="H928" s="28" t="s">
        <v>230</v>
      </c>
      <c r="I928" s="28" t="s">
        <v>230</v>
      </c>
      <c r="J928" s="28">
        <v>1</v>
      </c>
      <c r="K928" s="28"/>
      <c r="L928" s="28"/>
      <c r="M928" s="46"/>
    </row>
    <row r="929" ht="18.75" spans="2:13">
      <c r="B929" s="39" t="s">
        <v>1713</v>
      </c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6"/>
    </row>
    <row r="930" ht="18.75" spans="2:13">
      <c r="B930" s="28">
        <v>48256</v>
      </c>
      <c r="C930" s="28">
        <v>2</v>
      </c>
      <c r="D930" s="28" t="s">
        <v>254</v>
      </c>
      <c r="E930" s="41" t="s">
        <v>255</v>
      </c>
      <c r="F930" s="28" t="s">
        <v>109</v>
      </c>
      <c r="G930" s="28" t="s">
        <v>256</v>
      </c>
      <c r="H930" s="24" t="s">
        <v>182</v>
      </c>
      <c r="I930" s="21" t="s">
        <v>179</v>
      </c>
      <c r="J930" s="25">
        <v>0.1</v>
      </c>
      <c r="K930" s="25"/>
      <c r="L930" s="25"/>
      <c r="M930" s="46"/>
    </row>
    <row r="931" ht="18.75" spans="2:13">
      <c r="B931" s="28">
        <f t="shared" ref="B931:B994" si="18">B930+C930</f>
        <v>48258</v>
      </c>
      <c r="C931" s="28">
        <v>2</v>
      </c>
      <c r="D931" s="28" t="s">
        <v>257</v>
      </c>
      <c r="E931" s="41" t="s">
        <v>258</v>
      </c>
      <c r="F931" s="28" t="s">
        <v>109</v>
      </c>
      <c r="G931" s="28" t="s">
        <v>256</v>
      </c>
      <c r="H931" s="24" t="s">
        <v>182</v>
      </c>
      <c r="I931" s="21" t="s">
        <v>179</v>
      </c>
      <c r="J931" s="25">
        <v>1</v>
      </c>
      <c r="K931" s="25"/>
      <c r="L931" s="25"/>
      <c r="M931" s="46"/>
    </row>
    <row r="932" ht="18.75" spans="2:13">
      <c r="B932" s="28">
        <f t="shared" si="18"/>
        <v>48260</v>
      </c>
      <c r="C932" s="28">
        <v>2</v>
      </c>
      <c r="D932" s="28" t="s">
        <v>259</v>
      </c>
      <c r="E932" s="41" t="s">
        <v>260</v>
      </c>
      <c r="F932" s="28" t="s">
        <v>109</v>
      </c>
      <c r="G932" s="28" t="s">
        <v>256</v>
      </c>
      <c r="H932" s="24" t="s">
        <v>182</v>
      </c>
      <c r="I932" s="21" t="s">
        <v>179</v>
      </c>
      <c r="J932" s="25">
        <v>1</v>
      </c>
      <c r="K932" s="25"/>
      <c r="L932" s="25"/>
      <c r="M932" s="46"/>
    </row>
    <row r="933" ht="18.75" spans="2:13">
      <c r="B933" s="28">
        <f t="shared" si="18"/>
        <v>48262</v>
      </c>
      <c r="C933" s="28">
        <v>2</v>
      </c>
      <c r="D933" s="28" t="s">
        <v>261</v>
      </c>
      <c r="E933" s="41" t="s">
        <v>262</v>
      </c>
      <c r="F933" s="28" t="s">
        <v>109</v>
      </c>
      <c r="G933" s="28" t="s">
        <v>263</v>
      </c>
      <c r="H933" s="24" t="s">
        <v>182</v>
      </c>
      <c r="I933" s="21" t="s">
        <v>179</v>
      </c>
      <c r="J933" s="25">
        <v>1</v>
      </c>
      <c r="K933" s="25"/>
      <c r="L933" s="25"/>
      <c r="M933" s="46"/>
    </row>
    <row r="934" ht="18.75" spans="2:13">
      <c r="B934" s="28">
        <f t="shared" si="18"/>
        <v>48264</v>
      </c>
      <c r="C934" s="28">
        <v>2</v>
      </c>
      <c r="D934" s="28" t="s">
        <v>264</v>
      </c>
      <c r="E934" s="41" t="s">
        <v>265</v>
      </c>
      <c r="F934" s="28" t="s">
        <v>109</v>
      </c>
      <c r="G934" s="28" t="s">
        <v>263</v>
      </c>
      <c r="H934" s="24" t="s">
        <v>182</v>
      </c>
      <c r="I934" s="21" t="s">
        <v>179</v>
      </c>
      <c r="J934" s="25">
        <v>1</v>
      </c>
      <c r="K934" s="25"/>
      <c r="L934" s="25"/>
      <c r="M934" s="46"/>
    </row>
    <row r="935" ht="18.75" spans="2:13">
      <c r="B935" s="28">
        <f t="shared" si="18"/>
        <v>48266</v>
      </c>
      <c r="C935" s="28">
        <v>2</v>
      </c>
      <c r="D935" s="28" t="s">
        <v>266</v>
      </c>
      <c r="E935" s="41" t="s">
        <v>267</v>
      </c>
      <c r="F935" s="28" t="s">
        <v>109</v>
      </c>
      <c r="G935" s="28" t="s">
        <v>263</v>
      </c>
      <c r="H935" s="24" t="s">
        <v>182</v>
      </c>
      <c r="I935" s="21" t="s">
        <v>179</v>
      </c>
      <c r="J935" s="25">
        <v>1</v>
      </c>
      <c r="K935" s="25"/>
      <c r="L935" s="25"/>
      <c r="M935" s="46"/>
    </row>
    <row r="936" ht="18.75" spans="2:13">
      <c r="B936" s="28">
        <f t="shared" si="18"/>
        <v>48268</v>
      </c>
      <c r="C936" s="28">
        <v>2</v>
      </c>
      <c r="D936" s="28" t="s">
        <v>268</v>
      </c>
      <c r="E936" s="41" t="s">
        <v>269</v>
      </c>
      <c r="F936" s="28" t="s">
        <v>109</v>
      </c>
      <c r="G936" s="28" t="s">
        <v>270</v>
      </c>
      <c r="H936" s="24" t="s">
        <v>182</v>
      </c>
      <c r="I936" s="21" t="s">
        <v>179</v>
      </c>
      <c r="J936" s="25">
        <v>1</v>
      </c>
      <c r="K936" s="25"/>
      <c r="L936" s="25"/>
      <c r="M936" s="46"/>
    </row>
    <row r="937" ht="18.75" spans="2:13">
      <c r="B937" s="28">
        <f t="shared" si="18"/>
        <v>48270</v>
      </c>
      <c r="C937" s="28">
        <v>2</v>
      </c>
      <c r="D937" s="28" t="s">
        <v>271</v>
      </c>
      <c r="E937" s="41" t="s">
        <v>272</v>
      </c>
      <c r="F937" s="28" t="s">
        <v>109</v>
      </c>
      <c r="G937" s="28" t="s">
        <v>270</v>
      </c>
      <c r="H937" s="24" t="s">
        <v>182</v>
      </c>
      <c r="I937" s="21" t="s">
        <v>179</v>
      </c>
      <c r="J937" s="25">
        <v>1</v>
      </c>
      <c r="K937" s="25"/>
      <c r="L937" s="25"/>
      <c r="M937" s="46"/>
    </row>
    <row r="938" ht="18.75" spans="2:13">
      <c r="B938" s="28">
        <f t="shared" si="18"/>
        <v>48272</v>
      </c>
      <c r="C938" s="28">
        <v>2</v>
      </c>
      <c r="D938" s="28" t="s">
        <v>273</v>
      </c>
      <c r="E938" s="41" t="s">
        <v>274</v>
      </c>
      <c r="F938" s="28" t="s">
        <v>109</v>
      </c>
      <c r="G938" s="28" t="s">
        <v>270</v>
      </c>
      <c r="H938" s="24" t="s">
        <v>182</v>
      </c>
      <c r="I938" s="21" t="s">
        <v>179</v>
      </c>
      <c r="J938" s="25">
        <v>1</v>
      </c>
      <c r="K938" s="25"/>
      <c r="L938" s="25"/>
      <c r="M938" s="46"/>
    </row>
    <row r="939" ht="18.75" spans="2:13">
      <c r="B939" s="28">
        <f t="shared" si="18"/>
        <v>48274</v>
      </c>
      <c r="C939" s="28">
        <v>2</v>
      </c>
      <c r="D939" s="28" t="s">
        <v>275</v>
      </c>
      <c r="E939" s="41" t="s">
        <v>276</v>
      </c>
      <c r="F939" s="28" t="s">
        <v>109</v>
      </c>
      <c r="G939" s="28" t="s">
        <v>277</v>
      </c>
      <c r="H939" s="24" t="s">
        <v>182</v>
      </c>
      <c r="I939" s="21" t="s">
        <v>179</v>
      </c>
      <c r="J939" s="25">
        <v>1</v>
      </c>
      <c r="K939" s="25"/>
      <c r="L939" s="25"/>
      <c r="M939" s="46"/>
    </row>
    <row r="940" ht="18.75" spans="2:13">
      <c r="B940" s="28">
        <f t="shared" si="18"/>
        <v>48276</v>
      </c>
      <c r="C940" s="28">
        <v>2</v>
      </c>
      <c r="D940" s="28" t="s">
        <v>278</v>
      </c>
      <c r="E940" s="41" t="s">
        <v>279</v>
      </c>
      <c r="F940" s="28" t="s">
        <v>109</v>
      </c>
      <c r="G940" s="28" t="s">
        <v>277</v>
      </c>
      <c r="H940" s="24" t="s">
        <v>182</v>
      </c>
      <c r="I940" s="21" t="s">
        <v>179</v>
      </c>
      <c r="J940" s="25">
        <v>1</v>
      </c>
      <c r="K940" s="25"/>
      <c r="L940" s="25"/>
      <c r="M940" s="46"/>
    </row>
    <row r="941" ht="18.75" spans="2:13">
      <c r="B941" s="28">
        <f t="shared" si="18"/>
        <v>48278</v>
      </c>
      <c r="C941" s="28">
        <v>2</v>
      </c>
      <c r="D941" s="28" t="s">
        <v>280</v>
      </c>
      <c r="E941" s="41" t="s">
        <v>281</v>
      </c>
      <c r="F941" s="28" t="s">
        <v>109</v>
      </c>
      <c r="G941" s="28" t="s">
        <v>277</v>
      </c>
      <c r="H941" s="24" t="s">
        <v>182</v>
      </c>
      <c r="I941" s="21" t="s">
        <v>179</v>
      </c>
      <c r="J941" s="25">
        <v>1</v>
      </c>
      <c r="K941" s="25"/>
      <c r="L941" s="25"/>
      <c r="M941" s="46"/>
    </row>
    <row r="942" ht="18.75" spans="2:13">
      <c r="B942" s="28">
        <f t="shared" si="18"/>
        <v>48280</v>
      </c>
      <c r="C942" s="28">
        <v>2</v>
      </c>
      <c r="D942" s="28" t="s">
        <v>282</v>
      </c>
      <c r="E942" s="41" t="s">
        <v>283</v>
      </c>
      <c r="F942" s="28" t="s">
        <v>109</v>
      </c>
      <c r="G942" s="28" t="s">
        <v>284</v>
      </c>
      <c r="H942" s="24" t="s">
        <v>182</v>
      </c>
      <c r="I942" s="21" t="s">
        <v>179</v>
      </c>
      <c r="J942" s="25">
        <v>1</v>
      </c>
      <c r="K942" s="25"/>
      <c r="L942" s="25"/>
      <c r="M942" s="46"/>
    </row>
    <row r="943" ht="18.75" spans="2:13">
      <c r="B943" s="28">
        <f t="shared" si="18"/>
        <v>48282</v>
      </c>
      <c r="C943" s="28">
        <v>2</v>
      </c>
      <c r="D943" s="28" t="s">
        <v>285</v>
      </c>
      <c r="E943" s="41" t="s">
        <v>286</v>
      </c>
      <c r="F943" s="28" t="s">
        <v>109</v>
      </c>
      <c r="G943" s="28" t="s">
        <v>284</v>
      </c>
      <c r="H943" s="24" t="s">
        <v>182</v>
      </c>
      <c r="I943" s="21" t="s">
        <v>179</v>
      </c>
      <c r="J943" s="25">
        <v>1</v>
      </c>
      <c r="K943" s="25"/>
      <c r="L943" s="25"/>
      <c r="M943" s="46"/>
    </row>
    <row r="944" ht="18.75" spans="2:13">
      <c r="B944" s="28">
        <f t="shared" si="18"/>
        <v>48284</v>
      </c>
      <c r="C944" s="28">
        <v>2</v>
      </c>
      <c r="D944" s="28" t="s">
        <v>287</v>
      </c>
      <c r="E944" s="41" t="s">
        <v>288</v>
      </c>
      <c r="F944" s="28" t="s">
        <v>109</v>
      </c>
      <c r="G944" s="28" t="s">
        <v>284</v>
      </c>
      <c r="H944" s="24" t="s">
        <v>182</v>
      </c>
      <c r="I944" s="21" t="s">
        <v>179</v>
      </c>
      <c r="J944" s="25">
        <v>1</v>
      </c>
      <c r="K944" s="25"/>
      <c r="L944" s="25"/>
      <c r="M944" s="46"/>
    </row>
    <row r="945" ht="18.75" spans="2:14">
      <c r="B945" s="28">
        <f t="shared" si="18"/>
        <v>48286</v>
      </c>
      <c r="C945" s="28">
        <v>2</v>
      </c>
      <c r="D945" s="28" t="s">
        <v>289</v>
      </c>
      <c r="E945" s="41" t="s">
        <v>290</v>
      </c>
      <c r="F945" s="28" t="s">
        <v>109</v>
      </c>
      <c r="G945" s="28"/>
      <c r="H945" s="24" t="s">
        <v>182</v>
      </c>
      <c r="I945" s="21" t="s">
        <v>179</v>
      </c>
      <c r="J945" s="25">
        <v>1</v>
      </c>
      <c r="K945" s="25"/>
      <c r="L945" s="25"/>
      <c r="M945" s="46"/>
    </row>
    <row r="946" ht="18.75" spans="2:14">
      <c r="B946" s="28">
        <f t="shared" si="18"/>
        <v>48288</v>
      </c>
      <c r="C946" s="28">
        <v>2</v>
      </c>
      <c r="D946" s="28" t="s">
        <v>291</v>
      </c>
      <c r="E946" s="41" t="s">
        <v>292</v>
      </c>
      <c r="F946" s="28" t="s">
        <v>109</v>
      </c>
      <c r="G946" s="28"/>
      <c r="H946" s="24" t="s">
        <v>182</v>
      </c>
      <c r="I946" s="21" t="s">
        <v>179</v>
      </c>
      <c r="J946" s="25">
        <v>1</v>
      </c>
      <c r="K946" s="25"/>
      <c r="L946" s="25"/>
      <c r="M946" s="46"/>
    </row>
    <row r="947" ht="18.75" spans="2:14">
      <c r="B947" s="28">
        <f t="shared" si="18"/>
        <v>48290</v>
      </c>
      <c r="C947" s="28">
        <v>2</v>
      </c>
      <c r="D947" s="28" t="s">
        <v>293</v>
      </c>
      <c r="E947" s="41" t="s">
        <v>294</v>
      </c>
      <c r="F947" s="28" t="s">
        <v>109</v>
      </c>
      <c r="G947" s="28"/>
      <c r="H947" s="24" t="s">
        <v>182</v>
      </c>
      <c r="I947" s="21" t="s">
        <v>179</v>
      </c>
      <c r="J947" s="25">
        <v>1</v>
      </c>
      <c r="K947" s="25"/>
      <c r="L947" s="25"/>
      <c r="M947" s="46"/>
    </row>
    <row r="948" ht="18.75" spans="2:14">
      <c r="B948" s="28">
        <f t="shared" si="18"/>
        <v>48292</v>
      </c>
      <c r="C948" s="28">
        <v>2</v>
      </c>
      <c r="D948" s="28" t="s">
        <v>295</v>
      </c>
      <c r="E948" s="41" t="s">
        <v>296</v>
      </c>
      <c r="F948" s="28" t="s">
        <v>109</v>
      </c>
      <c r="G948" s="28"/>
      <c r="H948" s="24" t="s">
        <v>182</v>
      </c>
      <c r="I948" s="21" t="s">
        <v>179</v>
      </c>
      <c r="J948" s="25">
        <v>1</v>
      </c>
      <c r="K948" s="25"/>
      <c r="L948" s="25"/>
      <c r="M948" s="46"/>
      <c r="N948" s="67"/>
    </row>
    <row r="949" ht="18.75" spans="2:14">
      <c r="B949" s="28">
        <f t="shared" si="18"/>
        <v>48294</v>
      </c>
      <c r="C949" s="28">
        <v>2</v>
      </c>
      <c r="D949" s="28" t="s">
        <v>297</v>
      </c>
      <c r="E949" s="41" t="s">
        <v>298</v>
      </c>
      <c r="F949" s="28" t="s">
        <v>109</v>
      </c>
      <c r="G949" s="28"/>
      <c r="H949" s="24" t="s">
        <v>182</v>
      </c>
      <c r="I949" s="21" t="s">
        <v>179</v>
      </c>
      <c r="J949" s="25">
        <v>1</v>
      </c>
      <c r="K949" s="25"/>
      <c r="L949" s="25"/>
      <c r="M949" s="46"/>
      <c r="N949" s="67"/>
    </row>
    <row r="950" ht="18.75" spans="2:14">
      <c r="B950" s="28">
        <f t="shared" si="18"/>
        <v>48296</v>
      </c>
      <c r="C950" s="28">
        <v>2</v>
      </c>
      <c r="D950" s="28" t="s">
        <v>299</v>
      </c>
      <c r="E950" s="41" t="s">
        <v>300</v>
      </c>
      <c r="F950" s="28" t="s">
        <v>109</v>
      </c>
      <c r="G950" s="28"/>
      <c r="H950" s="24" t="s">
        <v>182</v>
      </c>
      <c r="I950" s="21" t="s">
        <v>179</v>
      </c>
      <c r="J950" s="25">
        <v>1</v>
      </c>
      <c r="K950" s="25"/>
      <c r="L950" s="25"/>
      <c r="M950" s="46"/>
      <c r="N950" s="67"/>
    </row>
    <row r="951" ht="37.5" spans="2:14">
      <c r="B951" s="28">
        <f t="shared" si="18"/>
        <v>48298</v>
      </c>
      <c r="C951" s="28">
        <v>2</v>
      </c>
      <c r="D951" s="28" t="s">
        <v>301</v>
      </c>
      <c r="E951" s="41" t="s">
        <v>302</v>
      </c>
      <c r="F951" s="28" t="s">
        <v>109</v>
      </c>
      <c r="G951" s="28" t="s">
        <v>256</v>
      </c>
      <c r="H951" s="24" t="s">
        <v>182</v>
      </c>
      <c r="I951" s="21" t="s">
        <v>179</v>
      </c>
      <c r="J951" s="25">
        <v>1</v>
      </c>
      <c r="K951" s="25"/>
      <c r="L951" s="25"/>
      <c r="M951" s="46"/>
      <c r="N951" s="67"/>
    </row>
    <row r="952" ht="18.75" spans="2:14">
      <c r="B952" s="28">
        <f t="shared" si="18"/>
        <v>48300</v>
      </c>
      <c r="C952" s="28">
        <v>2</v>
      </c>
      <c r="D952" s="28" t="s">
        <v>303</v>
      </c>
      <c r="E952" s="41" t="s">
        <v>304</v>
      </c>
      <c r="F952" s="28" t="s">
        <v>109</v>
      </c>
      <c r="G952" s="28" t="s">
        <v>263</v>
      </c>
      <c r="H952" s="24" t="s">
        <v>182</v>
      </c>
      <c r="I952" s="21" t="s">
        <v>179</v>
      </c>
      <c r="J952" s="25">
        <v>1</v>
      </c>
      <c r="K952" s="25"/>
      <c r="L952" s="25"/>
      <c r="M952" s="46"/>
      <c r="N952" s="67"/>
    </row>
    <row r="953" ht="18.75" spans="2:14">
      <c r="B953" s="28">
        <f t="shared" si="18"/>
        <v>48302</v>
      </c>
      <c r="C953" s="28">
        <v>2</v>
      </c>
      <c r="D953" s="28" t="s">
        <v>305</v>
      </c>
      <c r="E953" s="41" t="s">
        <v>306</v>
      </c>
      <c r="F953" s="28" t="s">
        <v>109</v>
      </c>
      <c r="G953" s="28" t="s">
        <v>263</v>
      </c>
      <c r="H953" s="24" t="s">
        <v>182</v>
      </c>
      <c r="I953" s="21" t="s">
        <v>179</v>
      </c>
      <c r="J953" s="25">
        <v>1</v>
      </c>
      <c r="K953" s="25"/>
      <c r="L953" s="25"/>
      <c r="M953" s="46"/>
      <c r="N953" s="67"/>
    </row>
    <row r="954" ht="18.75" spans="2:14">
      <c r="B954" s="28">
        <f t="shared" si="18"/>
        <v>48304</v>
      </c>
      <c r="C954" s="28">
        <v>2</v>
      </c>
      <c r="D954" s="28" t="s">
        <v>307</v>
      </c>
      <c r="E954" s="41" t="s">
        <v>308</v>
      </c>
      <c r="F954" s="28" t="s">
        <v>109</v>
      </c>
      <c r="G954" s="28" t="s">
        <v>270</v>
      </c>
      <c r="H954" s="24" t="s">
        <v>182</v>
      </c>
      <c r="I954" s="21" t="s">
        <v>179</v>
      </c>
      <c r="J954" s="25">
        <v>0.001</v>
      </c>
      <c r="K954" s="25"/>
      <c r="L954" s="25"/>
      <c r="M954" s="46"/>
    </row>
    <row r="955" ht="18.75" spans="2:14">
      <c r="B955" s="28">
        <f t="shared" si="18"/>
        <v>48306</v>
      </c>
      <c r="C955" s="28">
        <v>2</v>
      </c>
      <c r="D955" s="28" t="s">
        <v>309</v>
      </c>
      <c r="E955" s="41" t="s">
        <v>310</v>
      </c>
      <c r="F955" s="28" t="s">
        <v>109</v>
      </c>
      <c r="G955" s="28" t="s">
        <v>277</v>
      </c>
      <c r="H955" s="24" t="s">
        <v>182</v>
      </c>
      <c r="I955" s="21" t="s">
        <v>179</v>
      </c>
      <c r="J955" s="25">
        <v>0.001</v>
      </c>
      <c r="K955" s="25"/>
      <c r="L955" s="25"/>
      <c r="M955" s="46"/>
    </row>
    <row r="956" ht="18.75" spans="2:14">
      <c r="B956" s="28">
        <f t="shared" si="18"/>
        <v>48308</v>
      </c>
      <c r="C956" s="28">
        <v>2</v>
      </c>
      <c r="D956" s="28" t="s">
        <v>311</v>
      </c>
      <c r="E956" s="41" t="s">
        <v>312</v>
      </c>
      <c r="F956" s="28" t="s">
        <v>109</v>
      </c>
      <c r="G956" s="28" t="s">
        <v>284</v>
      </c>
      <c r="H956" s="24" t="s">
        <v>182</v>
      </c>
      <c r="I956" s="21" t="s">
        <v>179</v>
      </c>
      <c r="J956" s="25">
        <v>0.001</v>
      </c>
      <c r="K956" s="25"/>
      <c r="L956" s="25"/>
      <c r="M956" s="46"/>
    </row>
    <row r="957" ht="18.75" spans="2:14">
      <c r="B957" s="28">
        <f t="shared" si="18"/>
        <v>48310</v>
      </c>
      <c r="C957" s="28">
        <v>2</v>
      </c>
      <c r="D957" s="28" t="s">
        <v>313</v>
      </c>
      <c r="E957" s="41" t="s">
        <v>314</v>
      </c>
      <c r="F957" s="28" t="s">
        <v>109</v>
      </c>
      <c r="G957" s="28"/>
      <c r="H957" s="24" t="s">
        <v>182</v>
      </c>
      <c r="I957" s="21" t="s">
        <v>179</v>
      </c>
      <c r="J957" s="25">
        <v>0.001</v>
      </c>
      <c r="K957" s="25"/>
      <c r="L957" s="25"/>
      <c r="M957" s="46"/>
    </row>
    <row r="958" ht="18.75" spans="2:14">
      <c r="B958" s="28">
        <f t="shared" si="18"/>
        <v>48312</v>
      </c>
      <c r="C958" s="28">
        <v>2</v>
      </c>
      <c r="D958" s="28" t="s">
        <v>315</v>
      </c>
      <c r="E958" s="41" t="s">
        <v>316</v>
      </c>
      <c r="F958" s="28" t="s">
        <v>109</v>
      </c>
      <c r="G958" s="28"/>
      <c r="H958" s="24" t="s">
        <v>182</v>
      </c>
      <c r="I958" s="21" t="s">
        <v>179</v>
      </c>
      <c r="J958" s="25">
        <v>1</v>
      </c>
      <c r="K958" s="25"/>
      <c r="L958" s="25"/>
      <c r="M958" s="46"/>
      <c r="N958" s="67"/>
    </row>
    <row r="959" ht="18.75" spans="2:14">
      <c r="B959" s="28">
        <f t="shared" si="18"/>
        <v>48314</v>
      </c>
      <c r="C959" s="28">
        <v>2</v>
      </c>
      <c r="D959" s="28" t="s">
        <v>317</v>
      </c>
      <c r="E959" s="41" t="s">
        <v>318</v>
      </c>
      <c r="F959" s="28" t="s">
        <v>109</v>
      </c>
      <c r="G959" s="28" t="s">
        <v>319</v>
      </c>
      <c r="H959" s="24" t="s">
        <v>182</v>
      </c>
      <c r="I959" s="21" t="s">
        <v>179</v>
      </c>
      <c r="J959" s="25">
        <v>0.01</v>
      </c>
      <c r="K959" s="25"/>
      <c r="L959" s="25"/>
      <c r="M959" s="46"/>
      <c r="N959" s="67"/>
    </row>
    <row r="960" ht="18.75" spans="2:14">
      <c r="B960" s="28">
        <f t="shared" si="18"/>
        <v>48316</v>
      </c>
      <c r="C960" s="28">
        <v>2</v>
      </c>
      <c r="D960" s="28" t="s">
        <v>320</v>
      </c>
      <c r="E960" s="41" t="s">
        <v>321</v>
      </c>
      <c r="F960" s="28" t="s">
        <v>109</v>
      </c>
      <c r="G960" s="28"/>
      <c r="H960" s="24" t="s">
        <v>182</v>
      </c>
      <c r="I960" s="21" t="s">
        <v>179</v>
      </c>
      <c r="J960" s="25">
        <v>1</v>
      </c>
      <c r="K960" s="25"/>
      <c r="L960" s="25"/>
      <c r="M960" s="46"/>
      <c r="N960" s="67"/>
    </row>
    <row r="961" ht="18.75" spans="2:14">
      <c r="B961" s="28">
        <f t="shared" si="18"/>
        <v>48318</v>
      </c>
      <c r="C961" s="28">
        <v>2</v>
      </c>
      <c r="D961" s="28" t="s">
        <v>322</v>
      </c>
      <c r="E961" s="41" t="s">
        <v>323</v>
      </c>
      <c r="F961" s="28" t="s">
        <v>109</v>
      </c>
      <c r="G961" s="28"/>
      <c r="H961" s="24" t="s">
        <v>182</v>
      </c>
      <c r="I961" s="21" t="s">
        <v>179</v>
      </c>
      <c r="J961" s="25">
        <v>1</v>
      </c>
      <c r="K961" s="25"/>
      <c r="L961" s="25"/>
      <c r="M961" s="46"/>
      <c r="N961" s="67"/>
    </row>
    <row r="962" ht="18.75" spans="2:14">
      <c r="B962" s="28">
        <f t="shared" si="18"/>
        <v>48320</v>
      </c>
      <c r="C962" s="28">
        <v>2</v>
      </c>
      <c r="D962" s="28" t="s">
        <v>324</v>
      </c>
      <c r="E962" s="41" t="s">
        <v>325</v>
      </c>
      <c r="F962" s="28" t="s">
        <v>109</v>
      </c>
      <c r="G962" s="28" t="s">
        <v>284</v>
      </c>
      <c r="H962" s="24" t="s">
        <v>182</v>
      </c>
      <c r="I962" s="21" t="s">
        <v>179</v>
      </c>
      <c r="J962" s="25">
        <v>1</v>
      </c>
      <c r="K962" s="25"/>
      <c r="L962" s="25"/>
      <c r="M962" s="46"/>
      <c r="N962" s="67"/>
    </row>
    <row r="963" ht="18.75" spans="2:14">
      <c r="B963" s="28">
        <f t="shared" si="18"/>
        <v>48322</v>
      </c>
      <c r="C963" s="28">
        <v>2</v>
      </c>
      <c r="D963" s="28" t="s">
        <v>326</v>
      </c>
      <c r="E963" s="41" t="s">
        <v>327</v>
      </c>
      <c r="F963" s="28" t="s">
        <v>109</v>
      </c>
      <c r="G963" s="28" t="s">
        <v>284</v>
      </c>
      <c r="H963" s="24" t="s">
        <v>182</v>
      </c>
      <c r="I963" s="21" t="s">
        <v>179</v>
      </c>
      <c r="J963" s="25">
        <v>1</v>
      </c>
      <c r="K963" s="25"/>
      <c r="L963" s="25"/>
      <c r="M963" s="46"/>
      <c r="N963" s="67"/>
    </row>
    <row r="964" ht="18.75" spans="2:14">
      <c r="B964" s="28">
        <f t="shared" si="18"/>
        <v>48324</v>
      </c>
      <c r="C964" s="28">
        <v>2</v>
      </c>
      <c r="D964" s="28" t="s">
        <v>328</v>
      </c>
      <c r="E964" s="41" t="s">
        <v>329</v>
      </c>
      <c r="F964" s="28" t="s">
        <v>109</v>
      </c>
      <c r="G964" s="28"/>
      <c r="H964" s="24" t="s">
        <v>182</v>
      </c>
      <c r="I964" s="21" t="s">
        <v>179</v>
      </c>
      <c r="J964" s="25">
        <v>1</v>
      </c>
      <c r="K964" s="25"/>
      <c r="L964" s="25"/>
      <c r="M964" s="46"/>
      <c r="N964" s="67"/>
    </row>
    <row r="965" ht="18.75" spans="2:14">
      <c r="B965" s="28">
        <f t="shared" si="18"/>
        <v>48326</v>
      </c>
      <c r="C965" s="28">
        <v>2</v>
      </c>
      <c r="D965" s="28" t="s">
        <v>330</v>
      </c>
      <c r="E965" s="41" t="s">
        <v>331</v>
      </c>
      <c r="F965" s="28" t="s">
        <v>109</v>
      </c>
      <c r="G965" s="28" t="s">
        <v>332</v>
      </c>
      <c r="H965" s="24" t="s">
        <v>182</v>
      </c>
      <c r="I965" s="21" t="s">
        <v>179</v>
      </c>
      <c r="J965" s="25">
        <v>1</v>
      </c>
      <c r="K965" s="25"/>
      <c r="L965" s="25"/>
      <c r="M965" s="46"/>
      <c r="N965" s="67"/>
    </row>
    <row r="966" ht="37.5" spans="2:14">
      <c r="B966" s="28">
        <f t="shared" si="18"/>
        <v>48328</v>
      </c>
      <c r="C966" s="28">
        <v>2</v>
      </c>
      <c r="D966" s="28" t="s">
        <v>333</v>
      </c>
      <c r="E966" s="41" t="s">
        <v>334</v>
      </c>
      <c r="F966" s="28" t="s">
        <v>109</v>
      </c>
      <c r="G966" s="28" t="s">
        <v>270</v>
      </c>
      <c r="H966" s="24" t="s">
        <v>182</v>
      </c>
      <c r="I966" s="21" t="s">
        <v>179</v>
      </c>
      <c r="J966" s="25">
        <v>1</v>
      </c>
      <c r="K966" s="25"/>
      <c r="L966" s="25"/>
      <c r="M966" s="46"/>
      <c r="N966" s="67"/>
    </row>
    <row r="967" ht="37.5" spans="2:14">
      <c r="B967" s="28">
        <f t="shared" si="18"/>
        <v>48330</v>
      </c>
      <c r="C967" s="28">
        <v>2</v>
      </c>
      <c r="D967" s="28" t="s">
        <v>335</v>
      </c>
      <c r="E967" s="41" t="s">
        <v>336</v>
      </c>
      <c r="F967" s="28" t="s">
        <v>109</v>
      </c>
      <c r="G967" s="28" t="s">
        <v>270</v>
      </c>
      <c r="H967" s="24" t="s">
        <v>182</v>
      </c>
      <c r="I967" s="21" t="s">
        <v>179</v>
      </c>
      <c r="J967" s="25">
        <v>1</v>
      </c>
      <c r="K967" s="25"/>
      <c r="L967" s="25"/>
      <c r="M967" s="46"/>
      <c r="N967" s="67"/>
    </row>
    <row r="968" ht="37.5" spans="2:14">
      <c r="B968" s="28">
        <f t="shared" si="18"/>
        <v>48332</v>
      </c>
      <c r="C968" s="28">
        <v>2</v>
      </c>
      <c r="D968" s="28" t="s">
        <v>337</v>
      </c>
      <c r="E968" s="41" t="s">
        <v>338</v>
      </c>
      <c r="F968" s="28" t="s">
        <v>109</v>
      </c>
      <c r="G968" s="28" t="s">
        <v>277</v>
      </c>
      <c r="H968" s="24" t="s">
        <v>182</v>
      </c>
      <c r="I968" s="21" t="s">
        <v>179</v>
      </c>
      <c r="J968" s="25">
        <v>1</v>
      </c>
      <c r="K968" s="25"/>
      <c r="L968" s="25"/>
      <c r="M968" s="46"/>
      <c r="N968" s="67"/>
    </row>
    <row r="969" ht="37.5" spans="2:14">
      <c r="B969" s="28">
        <f t="shared" si="18"/>
        <v>48334</v>
      </c>
      <c r="C969" s="28">
        <v>2</v>
      </c>
      <c r="D969" s="28" t="s">
        <v>339</v>
      </c>
      <c r="E969" s="41" t="s">
        <v>340</v>
      </c>
      <c r="F969" s="28" t="s">
        <v>109</v>
      </c>
      <c r="G969" s="28" t="s">
        <v>277</v>
      </c>
      <c r="H969" s="24" t="s">
        <v>182</v>
      </c>
      <c r="I969" s="21" t="s">
        <v>179</v>
      </c>
      <c r="J969" s="25">
        <v>1</v>
      </c>
      <c r="K969" s="25"/>
      <c r="L969" s="25"/>
      <c r="M969" s="46"/>
      <c r="N969" s="67"/>
    </row>
    <row r="970" ht="37.5" spans="2:14">
      <c r="B970" s="28">
        <f t="shared" si="18"/>
        <v>48336</v>
      </c>
      <c r="C970" s="28">
        <v>2</v>
      </c>
      <c r="D970" s="28" t="s">
        <v>341</v>
      </c>
      <c r="E970" s="41" t="s">
        <v>342</v>
      </c>
      <c r="F970" s="28" t="s">
        <v>109</v>
      </c>
      <c r="G970" s="28" t="s">
        <v>263</v>
      </c>
      <c r="H970" s="24" t="s">
        <v>182</v>
      </c>
      <c r="I970" s="21" t="s">
        <v>179</v>
      </c>
      <c r="J970" s="25">
        <v>1</v>
      </c>
      <c r="K970" s="25"/>
      <c r="L970" s="25"/>
      <c r="M970" s="46"/>
      <c r="N970" s="67"/>
    </row>
    <row r="971" ht="37.5" spans="2:14">
      <c r="B971" s="28">
        <f t="shared" si="18"/>
        <v>48338</v>
      </c>
      <c r="C971" s="28">
        <v>2</v>
      </c>
      <c r="D971" s="28" t="s">
        <v>343</v>
      </c>
      <c r="E971" s="41" t="s">
        <v>344</v>
      </c>
      <c r="F971" s="28" t="s">
        <v>109</v>
      </c>
      <c r="G971" s="28" t="s">
        <v>263</v>
      </c>
      <c r="H971" s="24" t="s">
        <v>182</v>
      </c>
      <c r="I971" s="21" t="s">
        <v>179</v>
      </c>
      <c r="J971" s="25">
        <v>1</v>
      </c>
      <c r="K971" s="25"/>
      <c r="L971" s="25"/>
      <c r="M971" s="46"/>
      <c r="N971" s="67"/>
    </row>
    <row r="972" ht="37.5" spans="2:14">
      <c r="B972" s="28">
        <f t="shared" si="18"/>
        <v>48340</v>
      </c>
      <c r="C972" s="28">
        <v>2</v>
      </c>
      <c r="D972" s="28" t="s">
        <v>345</v>
      </c>
      <c r="E972" s="41" t="s">
        <v>346</v>
      </c>
      <c r="F972" s="28" t="s">
        <v>109</v>
      </c>
      <c r="G972" s="28" t="s">
        <v>284</v>
      </c>
      <c r="H972" s="24" t="s">
        <v>182</v>
      </c>
      <c r="I972" s="21" t="s">
        <v>179</v>
      </c>
      <c r="J972" s="25">
        <v>1</v>
      </c>
      <c r="K972" s="25"/>
      <c r="L972" s="25"/>
      <c r="M972" s="46"/>
      <c r="N972" s="67"/>
    </row>
    <row r="973" ht="37.5" spans="2:14">
      <c r="B973" s="28">
        <f t="shared" si="18"/>
        <v>48342</v>
      </c>
      <c r="C973" s="28">
        <v>2</v>
      </c>
      <c r="D973" s="28" t="s">
        <v>347</v>
      </c>
      <c r="E973" s="41" t="s">
        <v>348</v>
      </c>
      <c r="F973" s="28" t="s">
        <v>109</v>
      </c>
      <c r="G973" s="28" t="s">
        <v>284</v>
      </c>
      <c r="H973" s="24" t="s">
        <v>182</v>
      </c>
      <c r="I973" s="21" t="s">
        <v>179</v>
      </c>
      <c r="J973" s="25">
        <v>1</v>
      </c>
      <c r="K973" s="25"/>
      <c r="L973" s="25"/>
      <c r="M973" s="46"/>
      <c r="N973" s="67"/>
    </row>
    <row r="974" ht="18.75" spans="2:14">
      <c r="B974" s="28">
        <f t="shared" si="18"/>
        <v>48344</v>
      </c>
      <c r="C974" s="28">
        <v>2</v>
      </c>
      <c r="D974" s="28" t="s">
        <v>349</v>
      </c>
      <c r="E974" s="41" t="s">
        <v>350</v>
      </c>
      <c r="F974" s="28" t="s">
        <v>109</v>
      </c>
      <c r="G974" s="28" t="s">
        <v>256</v>
      </c>
      <c r="H974" s="24" t="s">
        <v>182</v>
      </c>
      <c r="I974" s="21" t="s">
        <v>179</v>
      </c>
      <c r="J974" s="25">
        <v>1</v>
      </c>
      <c r="K974" s="25"/>
      <c r="L974" s="25"/>
      <c r="M974" s="46"/>
    </row>
    <row r="975" ht="18.75" spans="2:14">
      <c r="B975" s="28">
        <f t="shared" si="18"/>
        <v>48346</v>
      </c>
      <c r="C975" s="28">
        <v>2</v>
      </c>
      <c r="D975" s="28" t="s">
        <v>351</v>
      </c>
      <c r="E975" s="41" t="s">
        <v>352</v>
      </c>
      <c r="F975" s="28" t="s">
        <v>109</v>
      </c>
      <c r="G975" s="28" t="s">
        <v>256</v>
      </c>
      <c r="H975" s="24" t="s">
        <v>182</v>
      </c>
      <c r="I975" s="21" t="s">
        <v>179</v>
      </c>
      <c r="J975" s="25">
        <v>1</v>
      </c>
      <c r="K975" s="25"/>
      <c r="L975" s="25"/>
      <c r="M975" s="46"/>
    </row>
    <row r="976" ht="18.75" spans="2:14">
      <c r="B976" s="28">
        <f t="shared" si="18"/>
        <v>48348</v>
      </c>
      <c r="C976" s="28">
        <v>2</v>
      </c>
      <c r="D976" s="28" t="s">
        <v>353</v>
      </c>
      <c r="E976" s="41" t="s">
        <v>354</v>
      </c>
      <c r="F976" s="28" t="s">
        <v>109</v>
      </c>
      <c r="G976" s="28" t="s">
        <v>256</v>
      </c>
      <c r="H976" s="24" t="s">
        <v>182</v>
      </c>
      <c r="I976" s="21" t="s">
        <v>179</v>
      </c>
      <c r="J976" s="25">
        <v>1</v>
      </c>
      <c r="K976" s="25"/>
      <c r="L976" s="25"/>
      <c r="M976" s="46"/>
    </row>
    <row r="977" ht="37.5" spans="2:14">
      <c r="B977" s="28">
        <f t="shared" si="18"/>
        <v>48350</v>
      </c>
      <c r="C977" s="28">
        <v>2</v>
      </c>
      <c r="D977" s="28" t="s">
        <v>355</v>
      </c>
      <c r="E977" s="41" t="s">
        <v>356</v>
      </c>
      <c r="F977" s="28" t="s">
        <v>109</v>
      </c>
      <c r="G977" s="28" t="s">
        <v>256</v>
      </c>
      <c r="H977" s="24" t="s">
        <v>182</v>
      </c>
      <c r="I977" s="21" t="s">
        <v>179</v>
      </c>
      <c r="J977" s="25">
        <v>1</v>
      </c>
      <c r="K977" s="25"/>
      <c r="L977" s="25"/>
      <c r="M977" s="46"/>
      <c r="N977" s="67"/>
    </row>
    <row r="978" ht="18.75" spans="2:14">
      <c r="B978" s="28">
        <f t="shared" si="18"/>
        <v>48352</v>
      </c>
      <c r="C978" s="28">
        <v>2</v>
      </c>
      <c r="D978" s="28" t="s">
        <v>357</v>
      </c>
      <c r="E978" s="41" t="s">
        <v>358</v>
      </c>
      <c r="F978" s="28" t="s">
        <v>109</v>
      </c>
      <c r="G978" s="28" t="s">
        <v>263</v>
      </c>
      <c r="H978" s="24" t="s">
        <v>182</v>
      </c>
      <c r="I978" s="21" t="s">
        <v>179</v>
      </c>
      <c r="J978" s="25">
        <v>1</v>
      </c>
      <c r="K978" s="25"/>
      <c r="L978" s="25"/>
      <c r="M978" s="46"/>
      <c r="N978" s="67"/>
    </row>
    <row r="979" ht="37.5" spans="2:14">
      <c r="B979" s="28">
        <f t="shared" si="18"/>
        <v>48354</v>
      </c>
      <c r="C979" s="28">
        <v>2</v>
      </c>
      <c r="D979" s="28" t="s">
        <v>359</v>
      </c>
      <c r="E979" s="41" t="s">
        <v>360</v>
      </c>
      <c r="F979" s="28" t="s">
        <v>109</v>
      </c>
      <c r="G979" s="28" t="s">
        <v>149</v>
      </c>
      <c r="H979" s="24" t="s">
        <v>182</v>
      </c>
      <c r="I979" s="21" t="s">
        <v>179</v>
      </c>
      <c r="J979" s="25">
        <v>1</v>
      </c>
      <c r="K979" s="25"/>
      <c r="L979" s="25"/>
      <c r="M979" s="46"/>
      <c r="N979" s="67"/>
    </row>
    <row r="980" ht="37.5" spans="2:14">
      <c r="B980" s="28">
        <f t="shared" si="18"/>
        <v>48356</v>
      </c>
      <c r="C980" s="28">
        <v>2</v>
      </c>
      <c r="D980" s="28" t="s">
        <v>361</v>
      </c>
      <c r="E980" s="41" t="s">
        <v>362</v>
      </c>
      <c r="F980" s="28" t="s">
        <v>109</v>
      </c>
      <c r="G980" s="28" t="s">
        <v>149</v>
      </c>
      <c r="H980" s="24" t="s">
        <v>182</v>
      </c>
      <c r="I980" s="21" t="s">
        <v>179</v>
      </c>
      <c r="J980" s="25">
        <v>1</v>
      </c>
      <c r="K980" s="25"/>
      <c r="L980" s="25"/>
      <c r="M980" s="46"/>
      <c r="N980" s="67"/>
    </row>
    <row r="981" ht="37.5" spans="2:14">
      <c r="B981" s="28">
        <f t="shared" si="18"/>
        <v>48358</v>
      </c>
      <c r="C981" s="28">
        <v>2</v>
      </c>
      <c r="D981" s="28" t="s">
        <v>363</v>
      </c>
      <c r="E981" s="41" t="s">
        <v>364</v>
      </c>
      <c r="F981" s="28" t="s">
        <v>109</v>
      </c>
      <c r="G981" s="28" t="s">
        <v>149</v>
      </c>
      <c r="H981" s="24" t="s">
        <v>182</v>
      </c>
      <c r="I981" s="21" t="s">
        <v>179</v>
      </c>
      <c r="J981" s="25">
        <v>1</v>
      </c>
      <c r="K981" s="25"/>
      <c r="L981" s="25"/>
      <c r="M981" s="46"/>
      <c r="N981" s="67"/>
    </row>
    <row r="982" ht="37.5" spans="2:14">
      <c r="B982" s="28">
        <f t="shared" si="18"/>
        <v>48360</v>
      </c>
      <c r="C982" s="28">
        <v>2</v>
      </c>
      <c r="D982" s="28" t="s">
        <v>365</v>
      </c>
      <c r="E982" s="41" t="s">
        <v>366</v>
      </c>
      <c r="F982" s="28" t="s">
        <v>109</v>
      </c>
      <c r="G982" s="28" t="s">
        <v>149</v>
      </c>
      <c r="H982" s="24" t="s">
        <v>182</v>
      </c>
      <c r="I982" s="21" t="s">
        <v>179</v>
      </c>
      <c r="J982" s="25">
        <v>1</v>
      </c>
      <c r="K982" s="25"/>
      <c r="L982" s="25"/>
      <c r="M982" s="46"/>
      <c r="N982" s="67"/>
    </row>
    <row r="983" ht="37.5" spans="2:14">
      <c r="B983" s="28">
        <f t="shared" si="18"/>
        <v>48362</v>
      </c>
      <c r="C983" s="28">
        <v>2</v>
      </c>
      <c r="D983" s="28" t="s">
        <v>367</v>
      </c>
      <c r="E983" s="41" t="s">
        <v>368</v>
      </c>
      <c r="F983" s="28" t="s">
        <v>109</v>
      </c>
      <c r="G983" s="28" t="s">
        <v>149</v>
      </c>
      <c r="H983" s="24" t="s">
        <v>182</v>
      </c>
      <c r="I983" s="21" t="s">
        <v>179</v>
      </c>
      <c r="J983" s="25">
        <v>1</v>
      </c>
      <c r="K983" s="25"/>
      <c r="L983" s="25"/>
      <c r="M983" s="46"/>
      <c r="N983" s="67"/>
    </row>
    <row r="984" ht="37.5" spans="2:14">
      <c r="B984" s="28">
        <f t="shared" si="18"/>
        <v>48364</v>
      </c>
      <c r="C984" s="28">
        <v>2</v>
      </c>
      <c r="D984" s="28" t="s">
        <v>369</v>
      </c>
      <c r="E984" s="41" t="s">
        <v>370</v>
      </c>
      <c r="F984" s="28" t="s">
        <v>109</v>
      </c>
      <c r="G984" s="28" t="s">
        <v>149</v>
      </c>
      <c r="H984" s="24" t="s">
        <v>182</v>
      </c>
      <c r="I984" s="21" t="s">
        <v>179</v>
      </c>
      <c r="J984" s="25">
        <v>1</v>
      </c>
      <c r="K984" s="25"/>
      <c r="L984" s="25"/>
      <c r="M984" s="46"/>
      <c r="N984" s="67"/>
    </row>
    <row r="985" ht="37.5" spans="2:14">
      <c r="B985" s="28">
        <f t="shared" si="18"/>
        <v>48366</v>
      </c>
      <c r="C985" s="28">
        <v>2</v>
      </c>
      <c r="D985" s="28" t="s">
        <v>371</v>
      </c>
      <c r="E985" s="41" t="s">
        <v>372</v>
      </c>
      <c r="F985" s="28" t="s">
        <v>109</v>
      </c>
      <c r="G985" s="28" t="s">
        <v>149</v>
      </c>
      <c r="H985" s="24" t="s">
        <v>182</v>
      </c>
      <c r="I985" s="21" t="s">
        <v>179</v>
      </c>
      <c r="J985" s="25">
        <v>1</v>
      </c>
      <c r="K985" s="25"/>
      <c r="L985" s="25"/>
      <c r="M985" s="46"/>
      <c r="N985" s="67"/>
    </row>
    <row r="986" ht="37.5" spans="2:14">
      <c r="B986" s="28">
        <f t="shared" si="18"/>
        <v>48368</v>
      </c>
      <c r="C986" s="28">
        <v>2</v>
      </c>
      <c r="D986" s="28" t="s">
        <v>373</v>
      </c>
      <c r="E986" s="41" t="s">
        <v>374</v>
      </c>
      <c r="F986" s="28" t="s">
        <v>109</v>
      </c>
      <c r="G986" s="28" t="s">
        <v>149</v>
      </c>
      <c r="H986" s="24" t="s">
        <v>182</v>
      </c>
      <c r="I986" s="21" t="s">
        <v>179</v>
      </c>
      <c r="J986" s="25">
        <v>1</v>
      </c>
      <c r="K986" s="25"/>
      <c r="L986" s="25"/>
      <c r="M986" s="46"/>
      <c r="N986" s="67"/>
    </row>
    <row r="987" ht="37.5" spans="2:14">
      <c r="B987" s="28">
        <f t="shared" si="18"/>
        <v>48370</v>
      </c>
      <c r="C987" s="28">
        <v>2</v>
      </c>
      <c r="D987" s="28" t="s">
        <v>375</v>
      </c>
      <c r="E987" s="41" t="s">
        <v>376</v>
      </c>
      <c r="F987" s="28" t="s">
        <v>109</v>
      </c>
      <c r="G987" s="28"/>
      <c r="H987" s="24" t="s">
        <v>182</v>
      </c>
      <c r="I987" s="21" t="s">
        <v>179</v>
      </c>
      <c r="J987" s="25">
        <v>1</v>
      </c>
      <c r="K987" s="25"/>
      <c r="L987" s="25"/>
      <c r="M987" s="46"/>
      <c r="N987" s="67"/>
    </row>
    <row r="988" ht="18.75" spans="2:14">
      <c r="B988" s="28">
        <f t="shared" si="18"/>
        <v>48372</v>
      </c>
      <c r="C988" s="28">
        <v>2</v>
      </c>
      <c r="D988" s="28" t="s">
        <v>377</v>
      </c>
      <c r="E988" s="41" t="s">
        <v>378</v>
      </c>
      <c r="F988" s="28" t="s">
        <v>109</v>
      </c>
      <c r="G988" s="28" t="s">
        <v>263</v>
      </c>
      <c r="H988" s="24" t="s">
        <v>182</v>
      </c>
      <c r="I988" s="21" t="s">
        <v>179</v>
      </c>
      <c r="J988" s="25">
        <v>1</v>
      </c>
      <c r="K988" s="25"/>
      <c r="L988" s="25"/>
      <c r="M988" s="46"/>
      <c r="N988" s="67"/>
    </row>
    <row r="989" ht="18.75" spans="2:14">
      <c r="B989" s="28">
        <f t="shared" si="18"/>
        <v>48374</v>
      </c>
      <c r="C989" s="28">
        <v>2</v>
      </c>
      <c r="D989" s="28" t="s">
        <v>379</v>
      </c>
      <c r="E989" s="41" t="s">
        <v>380</v>
      </c>
      <c r="F989" s="28" t="s">
        <v>109</v>
      </c>
      <c r="G989" s="28" t="s">
        <v>263</v>
      </c>
      <c r="H989" s="24" t="s">
        <v>182</v>
      </c>
      <c r="I989" s="21" t="s">
        <v>179</v>
      </c>
      <c r="J989" s="25">
        <v>1</v>
      </c>
      <c r="K989" s="25"/>
      <c r="L989" s="25"/>
      <c r="M989" s="46"/>
      <c r="N989" s="67"/>
    </row>
    <row r="990" ht="18.75" spans="2:14">
      <c r="B990" s="28">
        <f t="shared" si="18"/>
        <v>48376</v>
      </c>
      <c r="C990" s="28">
        <v>2</v>
      </c>
      <c r="D990" s="28" t="s">
        <v>381</v>
      </c>
      <c r="E990" s="41" t="s">
        <v>382</v>
      </c>
      <c r="F990" s="28" t="s">
        <v>109</v>
      </c>
      <c r="G990" s="28" t="s">
        <v>263</v>
      </c>
      <c r="H990" s="24" t="s">
        <v>182</v>
      </c>
      <c r="I990" s="21" t="s">
        <v>179</v>
      </c>
      <c r="J990" s="25">
        <v>1</v>
      </c>
      <c r="K990" s="25"/>
      <c r="L990" s="25"/>
      <c r="M990" s="46"/>
      <c r="N990" s="67"/>
    </row>
    <row r="991" ht="18.75" spans="2:14">
      <c r="B991" s="28">
        <f t="shared" si="18"/>
        <v>48378</v>
      </c>
      <c r="C991" s="28">
        <v>2</v>
      </c>
      <c r="D991" s="28" t="s">
        <v>383</v>
      </c>
      <c r="E991" s="41" t="s">
        <v>384</v>
      </c>
      <c r="F991" s="28" t="s">
        <v>109</v>
      </c>
      <c r="G991" s="28" t="s">
        <v>263</v>
      </c>
      <c r="H991" s="24" t="s">
        <v>182</v>
      </c>
      <c r="I991" s="21" t="s">
        <v>179</v>
      </c>
      <c r="J991" s="25">
        <v>1</v>
      </c>
      <c r="K991" s="25"/>
      <c r="L991" s="25"/>
      <c r="M991" s="46"/>
      <c r="N991" s="67"/>
    </row>
    <row r="992" ht="18.75" spans="2:14">
      <c r="B992" s="28">
        <f t="shared" si="18"/>
        <v>48380</v>
      </c>
      <c r="C992" s="28">
        <v>2</v>
      </c>
      <c r="D992" s="28" t="s">
        <v>385</v>
      </c>
      <c r="E992" s="41" t="s">
        <v>386</v>
      </c>
      <c r="F992" s="28" t="s">
        <v>109</v>
      </c>
      <c r="G992" s="28" t="s">
        <v>263</v>
      </c>
      <c r="H992" s="24" t="s">
        <v>182</v>
      </c>
      <c r="I992" s="21" t="s">
        <v>179</v>
      </c>
      <c r="J992" s="25">
        <v>1</v>
      </c>
      <c r="K992" s="25"/>
      <c r="L992" s="25"/>
      <c r="M992" s="46"/>
      <c r="N992" s="67"/>
    </row>
    <row r="993" ht="18.75" spans="2:14">
      <c r="B993" s="28">
        <f t="shared" si="18"/>
        <v>48382</v>
      </c>
      <c r="C993" s="28">
        <v>2</v>
      </c>
      <c r="D993" s="28" t="s">
        <v>387</v>
      </c>
      <c r="E993" s="41" t="s">
        <v>388</v>
      </c>
      <c r="F993" s="28" t="s">
        <v>109</v>
      </c>
      <c r="G993" s="28" t="s">
        <v>263</v>
      </c>
      <c r="H993" s="24" t="s">
        <v>182</v>
      </c>
      <c r="I993" s="21" t="s">
        <v>179</v>
      </c>
      <c r="J993" s="25">
        <v>1</v>
      </c>
      <c r="K993" s="25"/>
      <c r="L993" s="25"/>
      <c r="M993" s="46"/>
      <c r="N993" s="67"/>
    </row>
    <row r="994" ht="18.75" spans="2:14">
      <c r="B994" s="28">
        <f t="shared" si="18"/>
        <v>48384</v>
      </c>
      <c r="C994" s="28">
        <v>2</v>
      </c>
      <c r="D994" s="28" t="s">
        <v>389</v>
      </c>
      <c r="E994" s="41" t="s">
        <v>350</v>
      </c>
      <c r="F994" s="28" t="s">
        <v>109</v>
      </c>
      <c r="G994" s="28" t="s">
        <v>149</v>
      </c>
      <c r="H994" s="24" t="s">
        <v>182</v>
      </c>
      <c r="I994" s="21" t="s">
        <v>179</v>
      </c>
      <c r="J994" s="25">
        <v>1</v>
      </c>
      <c r="K994" s="25"/>
      <c r="L994" s="25"/>
      <c r="M994" s="46"/>
    </row>
    <row r="995" ht="18.75" spans="2:14">
      <c r="B995" s="28">
        <f t="shared" ref="B995:B1019" si="19">B994+C994</f>
        <v>48386</v>
      </c>
      <c r="C995" s="28">
        <v>2</v>
      </c>
      <c r="D995" s="28" t="s">
        <v>390</v>
      </c>
      <c r="E995" s="41" t="s">
        <v>352</v>
      </c>
      <c r="F995" s="28" t="s">
        <v>109</v>
      </c>
      <c r="G995" s="28" t="s">
        <v>149</v>
      </c>
      <c r="H995" s="24" t="s">
        <v>182</v>
      </c>
      <c r="I995" s="21" t="s">
        <v>179</v>
      </c>
      <c r="J995" s="25">
        <v>1</v>
      </c>
      <c r="K995" s="25"/>
      <c r="L995" s="25"/>
      <c r="M995" s="46"/>
    </row>
    <row r="996" ht="18.75" spans="2:14">
      <c r="B996" s="28">
        <f t="shared" si="19"/>
        <v>48388</v>
      </c>
      <c r="C996" s="28">
        <v>2</v>
      </c>
      <c r="D996" s="28" t="s">
        <v>391</v>
      </c>
      <c r="E996" s="41" t="s">
        <v>354</v>
      </c>
      <c r="F996" s="28" t="s">
        <v>109</v>
      </c>
      <c r="G996" s="28" t="s">
        <v>149</v>
      </c>
      <c r="H996" s="24" t="s">
        <v>182</v>
      </c>
      <c r="I996" s="21" t="s">
        <v>179</v>
      </c>
      <c r="J996" s="25">
        <v>1</v>
      </c>
      <c r="K996" s="25"/>
      <c r="L996" s="25"/>
      <c r="M996" s="46"/>
    </row>
    <row r="997" ht="37.5" spans="2:14">
      <c r="B997" s="28">
        <f t="shared" si="19"/>
        <v>48390</v>
      </c>
      <c r="C997" s="28">
        <v>2</v>
      </c>
      <c r="D997" s="28" t="s">
        <v>392</v>
      </c>
      <c r="E997" s="41" t="s">
        <v>393</v>
      </c>
      <c r="F997" s="28" t="s">
        <v>109</v>
      </c>
      <c r="G997" s="28" t="s">
        <v>149</v>
      </c>
      <c r="H997" s="24" t="s">
        <v>182</v>
      </c>
      <c r="I997" s="21" t="s">
        <v>179</v>
      </c>
      <c r="J997" s="25">
        <v>1</v>
      </c>
      <c r="K997" s="25"/>
      <c r="L997" s="25"/>
      <c r="M997" s="46"/>
      <c r="N997" s="67"/>
    </row>
    <row r="998" ht="18.75" spans="2:14">
      <c r="B998" s="28">
        <f t="shared" si="19"/>
        <v>48392</v>
      </c>
      <c r="C998" s="28">
        <v>2</v>
      </c>
      <c r="D998" s="28" t="s">
        <v>394</v>
      </c>
      <c r="E998" s="41" t="s">
        <v>395</v>
      </c>
      <c r="F998" s="28" t="s">
        <v>109</v>
      </c>
      <c r="G998" s="28" t="s">
        <v>270</v>
      </c>
      <c r="H998" s="24" t="s">
        <v>182</v>
      </c>
      <c r="I998" s="21" t="s">
        <v>179</v>
      </c>
      <c r="J998" s="25">
        <v>0.01</v>
      </c>
      <c r="K998" s="25"/>
      <c r="L998" s="25"/>
      <c r="M998" s="46"/>
      <c r="N998" s="67"/>
    </row>
    <row r="999" ht="18.75" spans="2:14">
      <c r="B999" s="28">
        <f t="shared" si="19"/>
        <v>48394</v>
      </c>
      <c r="C999" s="28">
        <v>2</v>
      </c>
      <c r="D999" s="28" t="s">
        <v>396</v>
      </c>
      <c r="E999" s="41" t="s">
        <v>397</v>
      </c>
      <c r="F999" s="28" t="s">
        <v>109</v>
      </c>
      <c r="G999" s="28" t="s">
        <v>284</v>
      </c>
      <c r="H999" s="24" t="s">
        <v>182</v>
      </c>
      <c r="I999" s="21" t="s">
        <v>179</v>
      </c>
      <c r="J999" s="25">
        <v>1</v>
      </c>
      <c r="K999" s="25"/>
      <c r="L999" s="25"/>
      <c r="M999" s="46"/>
      <c r="N999" s="67"/>
    </row>
    <row r="1000" ht="18.75" spans="2:14">
      <c r="B1000" s="28">
        <f t="shared" si="19"/>
        <v>48396</v>
      </c>
      <c r="C1000" s="28">
        <v>2</v>
      </c>
      <c r="D1000" s="28" t="s">
        <v>398</v>
      </c>
      <c r="E1000" s="41" t="s">
        <v>399</v>
      </c>
      <c r="F1000" s="28" t="s">
        <v>109</v>
      </c>
      <c r="G1000" s="28" t="s">
        <v>155</v>
      </c>
      <c r="H1000" s="24" t="s">
        <v>182</v>
      </c>
      <c r="I1000" s="21" t="s">
        <v>179</v>
      </c>
      <c r="J1000" s="25">
        <v>1</v>
      </c>
      <c r="K1000" s="25"/>
      <c r="L1000" s="25"/>
      <c r="M1000" s="46"/>
      <c r="N1000" s="67"/>
    </row>
    <row r="1001" ht="18.75" spans="2:14">
      <c r="B1001" s="28">
        <f t="shared" si="19"/>
        <v>48398</v>
      </c>
      <c r="C1001" s="28">
        <v>2</v>
      </c>
      <c r="D1001" s="28" t="s">
        <v>400</v>
      </c>
      <c r="E1001" s="41" t="s">
        <v>401</v>
      </c>
      <c r="F1001" s="28" t="s">
        <v>109</v>
      </c>
      <c r="G1001" s="28" t="s">
        <v>155</v>
      </c>
      <c r="H1001" s="24" t="s">
        <v>182</v>
      </c>
      <c r="I1001" s="21" t="s">
        <v>179</v>
      </c>
      <c r="J1001" s="25">
        <v>1</v>
      </c>
      <c r="K1001" s="25"/>
      <c r="L1001" s="25"/>
      <c r="M1001" s="46"/>
      <c r="N1001" s="67"/>
    </row>
    <row r="1002" ht="18.75" spans="2:14">
      <c r="B1002" s="28">
        <f t="shared" si="19"/>
        <v>48400</v>
      </c>
      <c r="C1002" s="28">
        <v>2</v>
      </c>
      <c r="D1002" s="28" t="s">
        <v>402</v>
      </c>
      <c r="E1002" s="41" t="s">
        <v>403</v>
      </c>
      <c r="F1002" s="28" t="s">
        <v>109</v>
      </c>
      <c r="G1002" s="28" t="s">
        <v>155</v>
      </c>
      <c r="H1002" s="24" t="s">
        <v>182</v>
      </c>
      <c r="I1002" s="21" t="s">
        <v>179</v>
      </c>
      <c r="J1002" s="25">
        <v>1</v>
      </c>
      <c r="K1002" s="25"/>
      <c r="L1002" s="25"/>
      <c r="M1002" s="46"/>
      <c r="N1002" s="67"/>
    </row>
    <row r="1003" ht="18.75" spans="2:14">
      <c r="B1003" s="28">
        <f t="shared" si="19"/>
        <v>48402</v>
      </c>
      <c r="C1003" s="28">
        <v>2</v>
      </c>
      <c r="D1003" s="28" t="s">
        <v>404</v>
      </c>
      <c r="E1003" s="41" t="s">
        <v>405</v>
      </c>
      <c r="F1003" s="28" t="s">
        <v>109</v>
      </c>
      <c r="G1003" s="28" t="s">
        <v>155</v>
      </c>
      <c r="H1003" s="24" t="s">
        <v>182</v>
      </c>
      <c r="I1003" s="21" t="s">
        <v>179</v>
      </c>
      <c r="J1003" s="25">
        <v>1</v>
      </c>
      <c r="K1003" s="25"/>
      <c r="L1003" s="25"/>
      <c r="M1003" s="46"/>
      <c r="N1003" s="67"/>
    </row>
    <row r="1004" ht="18.75" spans="2:14">
      <c r="B1004" s="28">
        <f t="shared" si="19"/>
        <v>48404</v>
      </c>
      <c r="C1004" s="28">
        <v>2</v>
      </c>
      <c r="D1004" s="28" t="s">
        <v>406</v>
      </c>
      <c r="E1004" s="41" t="s">
        <v>407</v>
      </c>
      <c r="F1004" s="28" t="s">
        <v>109</v>
      </c>
      <c r="G1004" s="28" t="s">
        <v>155</v>
      </c>
      <c r="H1004" s="24" t="s">
        <v>182</v>
      </c>
      <c r="I1004" s="21" t="s">
        <v>179</v>
      </c>
      <c r="J1004" s="25">
        <v>1</v>
      </c>
      <c r="K1004" s="25"/>
      <c r="L1004" s="25"/>
      <c r="M1004" s="46"/>
      <c r="N1004" s="67"/>
    </row>
    <row r="1005" ht="18.75" spans="2:14">
      <c r="B1005" s="28">
        <f t="shared" si="19"/>
        <v>48406</v>
      </c>
      <c r="C1005" s="28">
        <v>2</v>
      </c>
      <c r="D1005" s="28" t="s">
        <v>408</v>
      </c>
      <c r="E1005" s="41" t="s">
        <v>409</v>
      </c>
      <c r="F1005" s="28" t="s">
        <v>109</v>
      </c>
      <c r="G1005" s="28" t="s">
        <v>155</v>
      </c>
      <c r="H1005" s="24" t="s">
        <v>182</v>
      </c>
      <c r="I1005" s="21" t="s">
        <v>179</v>
      </c>
      <c r="J1005" s="25">
        <v>1</v>
      </c>
      <c r="K1005" s="25"/>
      <c r="L1005" s="25"/>
      <c r="M1005" s="46"/>
      <c r="N1005" s="67"/>
    </row>
    <row r="1006" ht="18.75" spans="2:14">
      <c r="B1006" s="28">
        <f t="shared" si="19"/>
        <v>48408</v>
      </c>
      <c r="C1006" s="28">
        <v>2</v>
      </c>
      <c r="D1006" s="28" t="s">
        <v>410</v>
      </c>
      <c r="E1006" s="41" t="s">
        <v>411</v>
      </c>
      <c r="F1006" s="28" t="s">
        <v>109</v>
      </c>
      <c r="G1006" s="28" t="s">
        <v>155</v>
      </c>
      <c r="H1006" s="24" t="s">
        <v>182</v>
      </c>
      <c r="I1006" s="21" t="s">
        <v>179</v>
      </c>
      <c r="J1006" s="25">
        <v>1</v>
      </c>
      <c r="K1006" s="25"/>
      <c r="L1006" s="25"/>
      <c r="M1006" s="46"/>
      <c r="N1006" s="67"/>
    </row>
    <row r="1007" ht="18.75" spans="2:14">
      <c r="B1007" s="28">
        <f t="shared" si="19"/>
        <v>48410</v>
      </c>
      <c r="C1007" s="28">
        <v>2</v>
      </c>
      <c r="D1007" s="28" t="s">
        <v>412</v>
      </c>
      <c r="E1007" s="41" t="s">
        <v>413</v>
      </c>
      <c r="F1007" s="28" t="s">
        <v>109</v>
      </c>
      <c r="G1007" s="28" t="s">
        <v>155</v>
      </c>
      <c r="H1007" s="24" t="s">
        <v>182</v>
      </c>
      <c r="I1007" s="21" t="s">
        <v>179</v>
      </c>
      <c r="J1007" s="25">
        <v>1</v>
      </c>
      <c r="K1007" s="25"/>
      <c r="L1007" s="25"/>
      <c r="M1007" s="46"/>
      <c r="N1007" s="67"/>
    </row>
    <row r="1008" ht="18.75" spans="2:14">
      <c r="B1008" s="28">
        <f t="shared" si="19"/>
        <v>48412</v>
      </c>
      <c r="C1008" s="28">
        <v>2</v>
      </c>
      <c r="D1008" s="28" t="s">
        <v>414</v>
      </c>
      <c r="E1008" s="41" t="s">
        <v>415</v>
      </c>
      <c r="F1008" s="28" t="s">
        <v>109</v>
      </c>
      <c r="G1008" s="28" t="s">
        <v>155</v>
      </c>
      <c r="H1008" s="24" t="s">
        <v>182</v>
      </c>
      <c r="I1008" s="21" t="s">
        <v>179</v>
      </c>
      <c r="J1008" s="25">
        <v>1</v>
      </c>
      <c r="K1008" s="25"/>
      <c r="L1008" s="25"/>
      <c r="M1008" s="46"/>
      <c r="N1008" s="67"/>
    </row>
    <row r="1009" ht="18.75" spans="2:14">
      <c r="B1009" s="28">
        <f t="shared" si="19"/>
        <v>48414</v>
      </c>
      <c r="C1009" s="28">
        <v>2</v>
      </c>
      <c r="D1009" s="28" t="s">
        <v>416</v>
      </c>
      <c r="E1009" s="41" t="s">
        <v>417</v>
      </c>
      <c r="F1009" s="28" t="s">
        <v>109</v>
      </c>
      <c r="G1009" s="28" t="s">
        <v>418</v>
      </c>
      <c r="H1009" s="24" t="s">
        <v>182</v>
      </c>
      <c r="I1009" s="21" t="s">
        <v>179</v>
      </c>
      <c r="J1009" s="25">
        <v>1</v>
      </c>
      <c r="K1009" s="25"/>
      <c r="L1009" s="25"/>
      <c r="M1009" s="46"/>
      <c r="N1009" s="67"/>
    </row>
    <row r="1010" ht="18.75" spans="2:14">
      <c r="B1010" s="28">
        <f t="shared" si="19"/>
        <v>48416</v>
      </c>
      <c r="C1010" s="28">
        <v>2</v>
      </c>
      <c r="D1010" s="28" t="s">
        <v>419</v>
      </c>
      <c r="E1010" s="41" t="s">
        <v>420</v>
      </c>
      <c r="F1010" s="28" t="s">
        <v>109</v>
      </c>
      <c r="G1010" s="28" t="s">
        <v>418</v>
      </c>
      <c r="H1010" s="24" t="s">
        <v>182</v>
      </c>
      <c r="I1010" s="21" t="s">
        <v>179</v>
      </c>
      <c r="J1010" s="25">
        <v>1</v>
      </c>
      <c r="K1010" s="25"/>
      <c r="L1010" s="25"/>
      <c r="M1010" s="46"/>
      <c r="N1010" s="67"/>
    </row>
    <row r="1011" ht="18.75" spans="2:14">
      <c r="B1011" s="28">
        <f t="shared" si="19"/>
        <v>48418</v>
      </c>
      <c r="C1011" s="28">
        <v>2</v>
      </c>
      <c r="D1011" s="28" t="s">
        <v>421</v>
      </c>
      <c r="E1011" s="41" t="s">
        <v>422</v>
      </c>
      <c r="F1011" s="28" t="s">
        <v>109</v>
      </c>
      <c r="G1011" s="28" t="s">
        <v>418</v>
      </c>
      <c r="H1011" s="24" t="s">
        <v>182</v>
      </c>
      <c r="I1011" s="21" t="s">
        <v>179</v>
      </c>
      <c r="J1011" s="25">
        <v>1</v>
      </c>
      <c r="K1011" s="25"/>
      <c r="L1011" s="25"/>
      <c r="M1011" s="46"/>
      <c r="N1011" s="67"/>
    </row>
    <row r="1012" ht="18.75" spans="2:14">
      <c r="B1012" s="28">
        <f t="shared" si="19"/>
        <v>48420</v>
      </c>
      <c r="C1012" s="28">
        <v>2</v>
      </c>
      <c r="D1012" s="28" t="s">
        <v>423</v>
      </c>
      <c r="E1012" s="41" t="s">
        <v>424</v>
      </c>
      <c r="F1012" s="28" t="s">
        <v>109</v>
      </c>
      <c r="G1012" s="28" t="s">
        <v>418</v>
      </c>
      <c r="H1012" s="24" t="s">
        <v>182</v>
      </c>
      <c r="I1012" s="21" t="s">
        <v>179</v>
      </c>
      <c r="J1012" s="25">
        <v>1</v>
      </c>
      <c r="K1012" s="25"/>
      <c r="L1012" s="25"/>
      <c r="M1012" s="46"/>
      <c r="N1012" s="67"/>
    </row>
    <row r="1013" ht="18.75" spans="2:14">
      <c r="B1013" s="28">
        <f t="shared" si="19"/>
        <v>48422</v>
      </c>
      <c r="C1013" s="28">
        <v>2</v>
      </c>
      <c r="D1013" s="28" t="s">
        <v>425</v>
      </c>
      <c r="E1013" s="41" t="s">
        <v>710</v>
      </c>
      <c r="F1013" s="28" t="s">
        <v>109</v>
      </c>
      <c r="G1013" s="28" t="s">
        <v>418</v>
      </c>
      <c r="H1013" s="24" t="s">
        <v>182</v>
      </c>
      <c r="I1013" s="21" t="s">
        <v>179</v>
      </c>
      <c r="J1013" s="25">
        <v>1</v>
      </c>
      <c r="K1013" s="25"/>
      <c r="L1013" s="25"/>
      <c r="M1013" s="46"/>
      <c r="N1013" s="67"/>
    </row>
    <row r="1014" ht="18.75" spans="2:14">
      <c r="B1014" s="28">
        <f t="shared" si="19"/>
        <v>48424</v>
      </c>
      <c r="C1014" s="28">
        <v>2</v>
      </c>
      <c r="D1014" s="28" t="s">
        <v>426</v>
      </c>
      <c r="E1014" s="41" t="s">
        <v>427</v>
      </c>
      <c r="F1014" s="28" t="s">
        <v>109</v>
      </c>
      <c r="G1014" s="28" t="s">
        <v>418</v>
      </c>
      <c r="H1014" s="24" t="s">
        <v>182</v>
      </c>
      <c r="I1014" s="21" t="s">
        <v>179</v>
      </c>
      <c r="J1014" s="25">
        <v>1</v>
      </c>
      <c r="K1014" s="25"/>
      <c r="L1014" s="25"/>
      <c r="M1014" s="46"/>
      <c r="N1014" s="67"/>
    </row>
    <row r="1015" ht="18.75" spans="2:14">
      <c r="B1015" s="28">
        <f t="shared" si="19"/>
        <v>48426</v>
      </c>
      <c r="C1015" s="28">
        <v>2</v>
      </c>
      <c r="D1015" s="28" t="s">
        <v>428</v>
      </c>
      <c r="E1015" s="41" t="s">
        <v>429</v>
      </c>
      <c r="F1015" s="28" t="s">
        <v>109</v>
      </c>
      <c r="G1015" s="28" t="s">
        <v>418</v>
      </c>
      <c r="H1015" s="24" t="s">
        <v>182</v>
      </c>
      <c r="I1015" s="21" t="s">
        <v>179</v>
      </c>
      <c r="J1015" s="25">
        <v>1</v>
      </c>
      <c r="K1015" s="25"/>
      <c r="L1015" s="25"/>
      <c r="M1015" s="46"/>
      <c r="N1015" s="67"/>
    </row>
    <row r="1016" ht="18.75" spans="2:14">
      <c r="B1016" s="28">
        <f t="shared" si="19"/>
        <v>48428</v>
      </c>
      <c r="C1016" s="28">
        <v>2</v>
      </c>
      <c r="D1016" s="28" t="s">
        <v>430</v>
      </c>
      <c r="E1016" s="41" t="s">
        <v>431</v>
      </c>
      <c r="F1016" s="28" t="s">
        <v>109</v>
      </c>
      <c r="G1016" s="28" t="s">
        <v>418</v>
      </c>
      <c r="H1016" s="24" t="s">
        <v>182</v>
      </c>
      <c r="I1016" s="21" t="s">
        <v>179</v>
      </c>
      <c r="J1016" s="25">
        <v>1</v>
      </c>
      <c r="K1016" s="25"/>
      <c r="L1016" s="25"/>
      <c r="M1016" s="46"/>
      <c r="N1016" s="67"/>
    </row>
    <row r="1017" ht="18.75" spans="2:14">
      <c r="B1017" s="28">
        <f t="shared" si="19"/>
        <v>48430</v>
      </c>
      <c r="C1017" s="28">
        <v>2</v>
      </c>
      <c r="D1017" s="28" t="s">
        <v>432</v>
      </c>
      <c r="E1017" s="41" t="s">
        <v>433</v>
      </c>
      <c r="F1017" s="28" t="s">
        <v>109</v>
      </c>
      <c r="G1017" s="28" t="s">
        <v>418</v>
      </c>
      <c r="H1017" s="24" t="s">
        <v>182</v>
      </c>
      <c r="I1017" s="21" t="s">
        <v>179</v>
      </c>
      <c r="J1017" s="25">
        <v>1</v>
      </c>
      <c r="K1017" s="25"/>
      <c r="L1017" s="25"/>
      <c r="M1017" s="46"/>
      <c r="N1017" s="67"/>
    </row>
    <row r="1018" ht="18.75" spans="2:14">
      <c r="B1018" s="28">
        <f t="shared" si="19"/>
        <v>48432</v>
      </c>
      <c r="C1018" s="28">
        <v>1</v>
      </c>
      <c r="D1018" s="28" t="s">
        <v>434</v>
      </c>
      <c r="E1018" s="41" t="s">
        <v>435</v>
      </c>
      <c r="F1018" s="28" t="s">
        <v>109</v>
      </c>
      <c r="G1018" s="28"/>
      <c r="H1018" s="28" t="s">
        <v>230</v>
      </c>
      <c r="I1018" s="28" t="s">
        <v>172</v>
      </c>
      <c r="J1018" s="25">
        <v>1</v>
      </c>
      <c r="K1018" s="25"/>
      <c r="L1018" s="25" t="s">
        <v>436</v>
      </c>
      <c r="M1018" s="46"/>
    </row>
    <row r="1019" ht="18.75" spans="2:14">
      <c r="B1019" s="28">
        <f t="shared" si="19"/>
        <v>48433</v>
      </c>
      <c r="C1019" s="28">
        <v>1</v>
      </c>
      <c r="D1019" s="28" t="s">
        <v>437</v>
      </c>
      <c r="E1019" s="41">
        <v>2</v>
      </c>
      <c r="F1019" s="28" t="s">
        <v>109</v>
      </c>
      <c r="G1019" s="28"/>
      <c r="H1019" s="28" t="s">
        <v>230</v>
      </c>
      <c r="I1019" s="28" t="s">
        <v>172</v>
      </c>
      <c r="J1019" s="25">
        <v>1</v>
      </c>
      <c r="K1019" s="25"/>
      <c r="L1019" s="25" t="s">
        <v>438</v>
      </c>
      <c r="M1019" s="46"/>
    </row>
    <row r="1020" ht="18.75" spans="2:14">
      <c r="B1020" s="39" t="s">
        <v>1714</v>
      </c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6"/>
    </row>
    <row r="1021" ht="18.75" spans="2:14">
      <c r="B1021" s="28">
        <v>52352</v>
      </c>
      <c r="C1021" s="28">
        <v>1</v>
      </c>
      <c r="D1021" s="28" t="s">
        <v>1715</v>
      </c>
      <c r="E1021" s="41" t="s">
        <v>1716</v>
      </c>
      <c r="F1021" s="28" t="s">
        <v>109</v>
      </c>
      <c r="G1021" s="28"/>
      <c r="H1021" s="28" t="s">
        <v>172</v>
      </c>
      <c r="I1021" s="28" t="s">
        <v>172</v>
      </c>
      <c r="J1021" s="25">
        <v>1</v>
      </c>
      <c r="K1021" s="25"/>
      <c r="L1021" s="25"/>
      <c r="M1021" s="46"/>
    </row>
    <row r="1022" s="34" customFormat="1" ht="131.25" spans="2:14">
      <c r="B1022" s="44">
        <f>B1021+C1021</f>
        <v>52353</v>
      </c>
      <c r="C1022" s="44">
        <v>1</v>
      </c>
      <c r="D1022" s="44" t="s">
        <v>1717</v>
      </c>
      <c r="E1022" s="48" t="s">
        <v>1718</v>
      </c>
      <c r="F1022" s="44" t="s">
        <v>109</v>
      </c>
      <c r="G1022" s="44"/>
      <c r="H1022" s="44" t="s">
        <v>172</v>
      </c>
      <c r="I1022" s="44" t="s">
        <v>172</v>
      </c>
      <c r="J1022" s="66">
        <v>1</v>
      </c>
      <c r="K1022" s="66"/>
      <c r="L1022" s="66" t="s">
        <v>861</v>
      </c>
      <c r="M1022" s="47"/>
      <c r="N1022" s="67" t="s">
        <v>1719</v>
      </c>
    </row>
    <row r="1023" s="34" customFormat="1" ht="37.5" spans="2:14">
      <c r="B1023" s="44">
        <f t="shared" ref="B1023:B1054" si="20">B1022+C1022</f>
        <v>52354</v>
      </c>
      <c r="C1023" s="44">
        <v>1</v>
      </c>
      <c r="D1023" s="44" t="s">
        <v>1720</v>
      </c>
      <c r="E1023" s="48" t="s">
        <v>1721</v>
      </c>
      <c r="F1023" s="44" t="s">
        <v>109</v>
      </c>
      <c r="G1023" s="44"/>
      <c r="H1023" s="44" t="s">
        <v>172</v>
      </c>
      <c r="I1023" s="44" t="s">
        <v>172</v>
      </c>
      <c r="J1023" s="66">
        <v>1</v>
      </c>
      <c r="K1023" s="66"/>
      <c r="L1023" s="66" t="s">
        <v>1722</v>
      </c>
      <c r="M1023" s="47"/>
      <c r="N1023" s="67" t="s">
        <v>1719</v>
      </c>
    </row>
    <row r="1024" s="34" customFormat="1" ht="37.5" spans="2:14">
      <c r="B1024" s="44">
        <f t="shared" si="20"/>
        <v>52355</v>
      </c>
      <c r="C1024" s="44">
        <v>1</v>
      </c>
      <c r="D1024" s="44" t="s">
        <v>1723</v>
      </c>
      <c r="E1024" s="48" t="s">
        <v>1724</v>
      </c>
      <c r="F1024" s="44" t="s">
        <v>109</v>
      </c>
      <c r="G1024" s="44"/>
      <c r="H1024" s="44" t="s">
        <v>172</v>
      </c>
      <c r="I1024" s="44" t="s">
        <v>172</v>
      </c>
      <c r="J1024" s="66">
        <v>1</v>
      </c>
      <c r="K1024" s="66"/>
      <c r="L1024" s="66" t="s">
        <v>1722</v>
      </c>
      <c r="M1024" s="47"/>
      <c r="N1024" s="67" t="s">
        <v>1719</v>
      </c>
    </row>
    <row r="1025" s="34" customFormat="1" ht="37.5" spans="2:14">
      <c r="B1025" s="44">
        <f t="shared" si="20"/>
        <v>52356</v>
      </c>
      <c r="C1025" s="44">
        <v>1</v>
      </c>
      <c r="D1025" s="44" t="s">
        <v>1725</v>
      </c>
      <c r="E1025" s="48" t="s">
        <v>1726</v>
      </c>
      <c r="F1025" s="44" t="s">
        <v>109</v>
      </c>
      <c r="G1025" s="44"/>
      <c r="H1025" s="44" t="s">
        <v>172</v>
      </c>
      <c r="I1025" s="44" t="s">
        <v>172</v>
      </c>
      <c r="J1025" s="66">
        <v>1</v>
      </c>
      <c r="K1025" s="66"/>
      <c r="L1025" s="66" t="s">
        <v>1722</v>
      </c>
      <c r="M1025" s="47"/>
      <c r="N1025" s="67" t="s">
        <v>1719</v>
      </c>
    </row>
    <row r="1026" s="34" customFormat="1" ht="37.5" spans="2:14">
      <c r="B1026" s="44">
        <f t="shared" si="20"/>
        <v>52357</v>
      </c>
      <c r="C1026" s="44">
        <v>1</v>
      </c>
      <c r="D1026" s="44" t="s">
        <v>1727</v>
      </c>
      <c r="E1026" s="48" t="s">
        <v>1728</v>
      </c>
      <c r="F1026" s="44" t="s">
        <v>109</v>
      </c>
      <c r="G1026" s="44"/>
      <c r="H1026" s="44" t="s">
        <v>172</v>
      </c>
      <c r="I1026" s="44" t="s">
        <v>172</v>
      </c>
      <c r="J1026" s="66">
        <v>1</v>
      </c>
      <c r="K1026" s="66"/>
      <c r="L1026" s="66" t="s">
        <v>1722</v>
      </c>
      <c r="M1026" s="47"/>
      <c r="N1026" s="67" t="s">
        <v>1719</v>
      </c>
    </row>
    <row r="1027" ht="37.5" spans="2:14">
      <c r="B1027" s="28">
        <f t="shared" si="20"/>
        <v>52358</v>
      </c>
      <c r="C1027" s="28">
        <v>1</v>
      </c>
      <c r="D1027" s="28" t="s">
        <v>1729</v>
      </c>
      <c r="E1027" s="41" t="s">
        <v>1730</v>
      </c>
      <c r="F1027" s="28" t="s">
        <v>109</v>
      </c>
      <c r="G1027" s="28" t="s">
        <v>1441</v>
      </c>
      <c r="H1027" s="28" t="s">
        <v>182</v>
      </c>
      <c r="I1027" s="28" t="s">
        <v>172</v>
      </c>
      <c r="J1027" s="25">
        <v>0.1</v>
      </c>
      <c r="K1027" s="25"/>
      <c r="L1027" s="25"/>
      <c r="M1027" s="46"/>
    </row>
    <row r="1028" ht="37.5" spans="2:14">
      <c r="B1028" s="28">
        <f t="shared" si="20"/>
        <v>52359</v>
      </c>
      <c r="C1028" s="28">
        <v>1</v>
      </c>
      <c r="D1028" s="28" t="s">
        <v>1731</v>
      </c>
      <c r="E1028" s="41" t="s">
        <v>1732</v>
      </c>
      <c r="F1028" s="28" t="s">
        <v>109</v>
      </c>
      <c r="G1028" s="28" t="s">
        <v>1441</v>
      </c>
      <c r="H1028" s="28" t="s">
        <v>182</v>
      </c>
      <c r="I1028" s="28" t="s">
        <v>172</v>
      </c>
      <c r="J1028" s="25">
        <v>0.1</v>
      </c>
      <c r="K1028" s="25"/>
      <c r="L1028" s="25"/>
      <c r="M1028" s="46"/>
    </row>
    <row r="1029" ht="18.75" spans="2:14">
      <c r="B1029" s="28">
        <f t="shared" si="20"/>
        <v>52360</v>
      </c>
      <c r="C1029" s="28">
        <v>1</v>
      </c>
      <c r="D1029" s="28" t="s">
        <v>1733</v>
      </c>
      <c r="E1029" s="41" t="s">
        <v>1734</v>
      </c>
      <c r="F1029" s="28" t="s">
        <v>109</v>
      </c>
      <c r="G1029" s="28" t="s">
        <v>1441</v>
      </c>
      <c r="H1029" s="28" t="s">
        <v>182</v>
      </c>
      <c r="I1029" s="28" t="s">
        <v>172</v>
      </c>
      <c r="J1029" s="25">
        <v>0.1</v>
      </c>
      <c r="K1029" s="25"/>
      <c r="L1029" s="25"/>
      <c r="M1029" s="46"/>
    </row>
    <row r="1030" ht="18.75" spans="2:14">
      <c r="B1030" s="28">
        <f t="shared" si="20"/>
        <v>52361</v>
      </c>
      <c r="C1030" s="28">
        <v>1</v>
      </c>
      <c r="D1030" s="28" t="s">
        <v>1735</v>
      </c>
      <c r="E1030" s="41" t="s">
        <v>1736</v>
      </c>
      <c r="F1030" s="28" t="s">
        <v>109</v>
      </c>
      <c r="G1030" s="28" t="s">
        <v>1441</v>
      </c>
      <c r="H1030" s="28" t="s">
        <v>182</v>
      </c>
      <c r="I1030" s="28" t="s">
        <v>172</v>
      </c>
      <c r="J1030" s="25">
        <v>0.1</v>
      </c>
      <c r="K1030" s="25"/>
      <c r="L1030" s="25"/>
      <c r="M1030" s="46"/>
    </row>
    <row r="1031" ht="18.75" spans="2:14">
      <c r="B1031" s="28">
        <f t="shared" si="20"/>
        <v>52362</v>
      </c>
      <c r="C1031" s="28">
        <v>1</v>
      </c>
      <c r="D1031" s="28" t="s">
        <v>1737</v>
      </c>
      <c r="E1031" s="41" t="s">
        <v>1738</v>
      </c>
      <c r="F1031" s="28" t="s">
        <v>109</v>
      </c>
      <c r="G1031" s="28" t="s">
        <v>1441</v>
      </c>
      <c r="H1031" s="28" t="s">
        <v>182</v>
      </c>
      <c r="I1031" s="28" t="s">
        <v>172</v>
      </c>
      <c r="J1031" s="25">
        <v>1</v>
      </c>
      <c r="K1031" s="25"/>
      <c r="L1031" s="25"/>
      <c r="M1031" s="46"/>
    </row>
    <row r="1032" ht="18.75" spans="2:14">
      <c r="B1032" s="28">
        <f t="shared" si="20"/>
        <v>52363</v>
      </c>
      <c r="C1032" s="28">
        <v>1</v>
      </c>
      <c r="D1032" s="28" t="s">
        <v>1739</v>
      </c>
      <c r="E1032" s="41" t="s">
        <v>1740</v>
      </c>
      <c r="F1032" s="28" t="s">
        <v>109</v>
      </c>
      <c r="G1032" s="28" t="s">
        <v>1741</v>
      </c>
      <c r="H1032" s="28" t="s">
        <v>172</v>
      </c>
      <c r="I1032" s="28" t="s">
        <v>172</v>
      </c>
      <c r="J1032" s="25">
        <v>1</v>
      </c>
      <c r="K1032" s="25"/>
      <c r="L1032" s="25"/>
      <c r="M1032" s="46"/>
    </row>
    <row r="1033" ht="18.75" spans="2:14">
      <c r="B1033" s="28">
        <f t="shared" si="20"/>
        <v>52364</v>
      </c>
      <c r="C1033" s="28">
        <v>1</v>
      </c>
      <c r="D1033" s="28" t="s">
        <v>1742</v>
      </c>
      <c r="E1033" s="41" t="s">
        <v>1743</v>
      </c>
      <c r="F1033" s="28" t="s">
        <v>109</v>
      </c>
      <c r="G1033" s="28" t="s">
        <v>1741</v>
      </c>
      <c r="H1033" s="28" t="s">
        <v>172</v>
      </c>
      <c r="I1033" s="28" t="s">
        <v>172</v>
      </c>
      <c r="J1033" s="25">
        <v>1</v>
      </c>
      <c r="K1033" s="25"/>
      <c r="L1033" s="25"/>
      <c r="M1033" s="46"/>
    </row>
    <row r="1034" ht="18.75" spans="2:14">
      <c r="B1034" s="28">
        <f t="shared" si="20"/>
        <v>52365</v>
      </c>
      <c r="C1034" s="28">
        <v>1</v>
      </c>
      <c r="D1034" s="28" t="s">
        <v>1744</v>
      </c>
      <c r="E1034" s="41" t="s">
        <v>1745</v>
      </c>
      <c r="F1034" s="28" t="s">
        <v>109</v>
      </c>
      <c r="G1034" s="28" t="s">
        <v>1441</v>
      </c>
      <c r="H1034" s="28" t="s">
        <v>182</v>
      </c>
      <c r="I1034" s="28" t="s">
        <v>172</v>
      </c>
      <c r="J1034" s="25">
        <v>0.1</v>
      </c>
      <c r="K1034" s="25"/>
      <c r="L1034" s="25"/>
      <c r="M1034" s="46"/>
    </row>
    <row r="1035" ht="18.75" spans="2:14">
      <c r="B1035" s="28">
        <f t="shared" si="20"/>
        <v>52366</v>
      </c>
      <c r="C1035" s="28">
        <v>1</v>
      </c>
      <c r="D1035" s="28" t="s">
        <v>1746</v>
      </c>
      <c r="E1035" s="41" t="s">
        <v>1747</v>
      </c>
      <c r="F1035" s="28" t="s">
        <v>109</v>
      </c>
      <c r="G1035" s="28" t="s">
        <v>263</v>
      </c>
      <c r="H1035" s="28" t="s">
        <v>182</v>
      </c>
      <c r="I1035" s="28" t="s">
        <v>172</v>
      </c>
      <c r="J1035" s="25">
        <v>0.001</v>
      </c>
      <c r="K1035" s="25"/>
      <c r="L1035" s="25"/>
      <c r="M1035" s="46"/>
    </row>
    <row r="1036" ht="18.75" spans="2:14">
      <c r="B1036" s="28">
        <f t="shared" si="20"/>
        <v>52367</v>
      </c>
      <c r="C1036" s="28">
        <v>1</v>
      </c>
      <c r="D1036" s="28" t="s">
        <v>1748</v>
      </c>
      <c r="E1036" s="41" t="s">
        <v>1749</v>
      </c>
      <c r="F1036" s="28" t="s">
        <v>109</v>
      </c>
      <c r="G1036" s="28" t="s">
        <v>256</v>
      </c>
      <c r="H1036" s="28" t="s">
        <v>172</v>
      </c>
      <c r="I1036" s="28" t="s">
        <v>172</v>
      </c>
      <c r="J1036" s="25">
        <v>1</v>
      </c>
      <c r="K1036" s="25"/>
      <c r="L1036" s="25"/>
      <c r="M1036" s="46"/>
    </row>
    <row r="1037" ht="18.75" spans="2:14">
      <c r="B1037" s="28">
        <f t="shared" si="20"/>
        <v>52368</v>
      </c>
      <c r="C1037" s="28">
        <v>1</v>
      </c>
      <c r="D1037" s="28" t="s">
        <v>1750</v>
      </c>
      <c r="E1037" s="41" t="s">
        <v>1751</v>
      </c>
      <c r="F1037" s="28" t="s">
        <v>109</v>
      </c>
      <c r="G1037" s="28" t="s">
        <v>256</v>
      </c>
      <c r="H1037" s="28" t="s">
        <v>182</v>
      </c>
      <c r="I1037" s="28" t="s">
        <v>172</v>
      </c>
      <c r="J1037" s="25">
        <v>0.1</v>
      </c>
      <c r="K1037" s="25"/>
      <c r="L1037" s="25"/>
      <c r="M1037" s="46"/>
    </row>
    <row r="1038" ht="18.75" spans="2:14">
      <c r="B1038" s="28">
        <f t="shared" si="20"/>
        <v>52369</v>
      </c>
      <c r="C1038" s="28">
        <v>1</v>
      </c>
      <c r="D1038" s="28" t="s">
        <v>1752</v>
      </c>
      <c r="E1038" s="41" t="s">
        <v>1753</v>
      </c>
      <c r="F1038" s="28" t="s">
        <v>109</v>
      </c>
      <c r="G1038" s="28" t="s">
        <v>263</v>
      </c>
      <c r="H1038" s="28" t="s">
        <v>182</v>
      </c>
      <c r="I1038" s="28" t="s">
        <v>172</v>
      </c>
      <c r="J1038" s="25">
        <v>0.001</v>
      </c>
      <c r="K1038" s="25"/>
      <c r="L1038" s="25"/>
      <c r="M1038" s="46"/>
    </row>
    <row r="1039" ht="18.75" spans="2:14">
      <c r="B1039" s="28">
        <f t="shared" si="20"/>
        <v>52370</v>
      </c>
      <c r="C1039" s="28">
        <v>1</v>
      </c>
      <c r="D1039" s="28" t="s">
        <v>1754</v>
      </c>
      <c r="E1039" s="41" t="s">
        <v>1755</v>
      </c>
      <c r="F1039" s="28" t="s">
        <v>109</v>
      </c>
      <c r="G1039" s="28" t="s">
        <v>1756</v>
      </c>
      <c r="H1039" s="28" t="s">
        <v>172</v>
      </c>
      <c r="I1039" s="28" t="s">
        <v>172</v>
      </c>
      <c r="J1039" s="25">
        <v>1</v>
      </c>
      <c r="K1039" s="25"/>
      <c r="L1039" s="25"/>
      <c r="M1039" s="46"/>
    </row>
    <row r="1040" ht="18.75" spans="2:14">
      <c r="B1040" s="28">
        <f t="shared" si="20"/>
        <v>52371</v>
      </c>
      <c r="C1040" s="28">
        <v>1</v>
      </c>
      <c r="D1040" s="28" t="s">
        <v>1757</v>
      </c>
      <c r="E1040" s="41" t="s">
        <v>1758</v>
      </c>
      <c r="F1040" s="28" t="s">
        <v>109</v>
      </c>
      <c r="G1040" s="28" t="s">
        <v>1756</v>
      </c>
      <c r="H1040" s="28" t="s">
        <v>172</v>
      </c>
      <c r="I1040" s="28" t="s">
        <v>172</v>
      </c>
      <c r="J1040" s="25">
        <v>1</v>
      </c>
      <c r="K1040" s="25"/>
      <c r="L1040" s="25"/>
      <c r="M1040" s="46"/>
    </row>
    <row r="1041" ht="18.75" spans="2:14">
      <c r="B1041" s="28">
        <f t="shared" si="20"/>
        <v>52372</v>
      </c>
      <c r="C1041" s="28">
        <v>1</v>
      </c>
      <c r="D1041" s="28" t="s">
        <v>1759</v>
      </c>
      <c r="E1041" s="41" t="s">
        <v>1760</v>
      </c>
      <c r="F1041" s="28" t="s">
        <v>109</v>
      </c>
      <c r="G1041" s="28" t="s">
        <v>319</v>
      </c>
      <c r="H1041" s="28" t="s">
        <v>172</v>
      </c>
      <c r="I1041" s="28" t="s">
        <v>172</v>
      </c>
      <c r="J1041" s="25">
        <v>1</v>
      </c>
      <c r="K1041" s="25"/>
      <c r="L1041" s="25"/>
      <c r="M1041" s="46"/>
    </row>
    <row r="1042" ht="18.75" spans="2:14">
      <c r="B1042" s="28">
        <f t="shared" si="20"/>
        <v>52373</v>
      </c>
      <c r="C1042" s="28">
        <v>1</v>
      </c>
      <c r="D1042" s="28" t="s">
        <v>1761</v>
      </c>
      <c r="E1042" s="41" t="s">
        <v>1762</v>
      </c>
      <c r="F1042" s="28" t="s">
        <v>109</v>
      </c>
      <c r="G1042" s="28"/>
      <c r="H1042" s="28" t="s">
        <v>172</v>
      </c>
      <c r="I1042" s="28" t="s">
        <v>172</v>
      </c>
      <c r="J1042" s="25">
        <v>1</v>
      </c>
      <c r="K1042" s="25"/>
      <c r="L1042" s="25"/>
      <c r="M1042" s="46"/>
    </row>
    <row r="1043" ht="18.75" spans="2:14">
      <c r="B1043" s="28">
        <f t="shared" si="20"/>
        <v>52374</v>
      </c>
      <c r="C1043" s="28">
        <v>1</v>
      </c>
      <c r="D1043" s="28" t="s">
        <v>1763</v>
      </c>
      <c r="E1043" s="41" t="s">
        <v>1764</v>
      </c>
      <c r="F1043" s="28" t="s">
        <v>109</v>
      </c>
      <c r="G1043" s="28" t="s">
        <v>1765</v>
      </c>
      <c r="H1043" s="28" t="s">
        <v>182</v>
      </c>
      <c r="I1043" s="28" t="s">
        <v>172</v>
      </c>
      <c r="J1043" s="25">
        <v>0.01</v>
      </c>
      <c r="K1043" s="25"/>
      <c r="L1043" s="25"/>
      <c r="M1043" s="46"/>
    </row>
    <row r="1044" ht="18.75" spans="2:14">
      <c r="B1044" s="28">
        <f t="shared" si="20"/>
        <v>52375</v>
      </c>
      <c r="C1044" s="28">
        <v>1</v>
      </c>
      <c r="D1044" s="28" t="s">
        <v>1766</v>
      </c>
      <c r="E1044" s="41" t="s">
        <v>1767</v>
      </c>
      <c r="F1044" s="28" t="s">
        <v>109</v>
      </c>
      <c r="G1044" s="28" t="s">
        <v>1441</v>
      </c>
      <c r="H1044" s="28" t="s">
        <v>172</v>
      </c>
      <c r="I1044" s="28" t="s">
        <v>172</v>
      </c>
      <c r="J1044" s="25">
        <v>1</v>
      </c>
      <c r="K1044" s="25"/>
      <c r="L1044" s="25"/>
      <c r="M1044" s="46"/>
    </row>
    <row r="1045" ht="18.75" spans="2:14">
      <c r="B1045" s="28">
        <f t="shared" si="20"/>
        <v>52376</v>
      </c>
      <c r="C1045" s="28">
        <v>1</v>
      </c>
      <c r="D1045" s="28" t="s">
        <v>1768</v>
      </c>
      <c r="E1045" s="41" t="s">
        <v>1769</v>
      </c>
      <c r="F1045" s="28" t="s">
        <v>109</v>
      </c>
      <c r="G1045" s="28" t="s">
        <v>1441</v>
      </c>
      <c r="H1045" s="28" t="s">
        <v>172</v>
      </c>
      <c r="I1045" s="28" t="s">
        <v>172</v>
      </c>
      <c r="J1045" s="25">
        <v>1</v>
      </c>
      <c r="K1045" s="25"/>
      <c r="L1045" s="25"/>
      <c r="M1045" s="46"/>
    </row>
    <row r="1046" ht="18.75" spans="2:14">
      <c r="B1046" s="28">
        <f t="shared" si="20"/>
        <v>52377</v>
      </c>
      <c r="C1046" s="28">
        <v>1</v>
      </c>
      <c r="D1046" s="28" t="s">
        <v>1770</v>
      </c>
      <c r="E1046" s="41" t="s">
        <v>1771</v>
      </c>
      <c r="F1046" s="28" t="s">
        <v>109</v>
      </c>
      <c r="G1046" s="28" t="s">
        <v>1441</v>
      </c>
      <c r="H1046" s="28" t="s">
        <v>468</v>
      </c>
      <c r="I1046" s="28" t="s">
        <v>468</v>
      </c>
      <c r="J1046" s="25">
        <v>1</v>
      </c>
      <c r="K1046" s="25"/>
      <c r="L1046" s="25"/>
      <c r="M1046" s="46"/>
    </row>
    <row r="1047" ht="18.75" spans="2:14">
      <c r="B1047" s="28">
        <f t="shared" si="20"/>
        <v>52378</v>
      </c>
      <c r="C1047" s="28">
        <v>1</v>
      </c>
      <c r="D1047" s="28" t="s">
        <v>1772</v>
      </c>
      <c r="E1047" s="41" t="s">
        <v>1773</v>
      </c>
      <c r="F1047" s="28" t="s">
        <v>109</v>
      </c>
      <c r="G1047" s="28" t="s">
        <v>1441</v>
      </c>
      <c r="H1047" s="28" t="s">
        <v>172</v>
      </c>
      <c r="I1047" s="28" t="s">
        <v>172</v>
      </c>
      <c r="J1047" s="25">
        <v>1</v>
      </c>
      <c r="K1047" s="25"/>
      <c r="L1047" s="25"/>
      <c r="M1047" s="46"/>
    </row>
    <row r="1048" ht="18.75" spans="2:14">
      <c r="B1048" s="28">
        <f t="shared" si="20"/>
        <v>52379</v>
      </c>
      <c r="C1048" s="28">
        <v>1</v>
      </c>
      <c r="D1048" s="28" t="s">
        <v>1774</v>
      </c>
      <c r="E1048" s="41" t="s">
        <v>1775</v>
      </c>
      <c r="F1048" s="28" t="s">
        <v>109</v>
      </c>
      <c r="G1048" s="28" t="s">
        <v>1741</v>
      </c>
      <c r="H1048" s="28" t="s">
        <v>172</v>
      </c>
      <c r="I1048" s="28" t="s">
        <v>172</v>
      </c>
      <c r="J1048" s="25">
        <v>1</v>
      </c>
      <c r="K1048" s="25"/>
      <c r="L1048" s="25"/>
      <c r="M1048" s="46"/>
    </row>
    <row r="1049" ht="18.75" spans="2:14">
      <c r="B1049" s="28">
        <f t="shared" si="20"/>
        <v>52380</v>
      </c>
      <c r="C1049" s="28">
        <v>1</v>
      </c>
      <c r="D1049" s="28" t="s">
        <v>1776</v>
      </c>
      <c r="E1049" s="41" t="s">
        <v>1777</v>
      </c>
      <c r="F1049" s="28" t="s">
        <v>109</v>
      </c>
      <c r="G1049" s="28" t="s">
        <v>1741</v>
      </c>
      <c r="H1049" s="28" t="s">
        <v>172</v>
      </c>
      <c r="I1049" s="28" t="s">
        <v>172</v>
      </c>
      <c r="J1049" s="25">
        <v>1</v>
      </c>
      <c r="K1049" s="25"/>
      <c r="L1049" s="25"/>
      <c r="M1049" s="46"/>
    </row>
    <row r="1050" ht="18.75" spans="2:14">
      <c r="B1050" s="28">
        <f t="shared" si="20"/>
        <v>52381</v>
      </c>
      <c r="C1050" s="28">
        <v>1</v>
      </c>
      <c r="D1050" s="28" t="s">
        <v>1778</v>
      </c>
      <c r="E1050" s="41" t="s">
        <v>1779</v>
      </c>
      <c r="F1050" s="28" t="s">
        <v>109</v>
      </c>
      <c r="G1050" s="28" t="s">
        <v>1441</v>
      </c>
      <c r="H1050" s="28" t="s">
        <v>172</v>
      </c>
      <c r="I1050" s="28" t="s">
        <v>172</v>
      </c>
      <c r="J1050" s="25">
        <v>1</v>
      </c>
      <c r="K1050" s="25"/>
      <c r="L1050" s="25"/>
      <c r="M1050" s="46"/>
    </row>
    <row r="1051" ht="18.75" spans="2:14">
      <c r="B1051" s="28">
        <f t="shared" si="20"/>
        <v>52382</v>
      </c>
      <c r="C1051" s="28">
        <v>1</v>
      </c>
      <c r="D1051" s="28" t="s">
        <v>1780</v>
      </c>
      <c r="E1051" s="41" t="s">
        <v>1781</v>
      </c>
      <c r="F1051" s="28" t="s">
        <v>109</v>
      </c>
      <c r="G1051" s="28" t="s">
        <v>1441</v>
      </c>
      <c r="H1051" s="28" t="s">
        <v>468</v>
      </c>
      <c r="I1051" s="28" t="s">
        <v>468</v>
      </c>
      <c r="J1051" s="25">
        <v>1</v>
      </c>
      <c r="K1051" s="25"/>
      <c r="L1051" s="25"/>
      <c r="M1051" s="46"/>
    </row>
    <row r="1052" ht="18.75" spans="2:14">
      <c r="B1052" s="28">
        <f t="shared" si="20"/>
        <v>52383</v>
      </c>
      <c r="C1052" s="28">
        <v>1</v>
      </c>
      <c r="D1052" s="28" t="s">
        <v>1782</v>
      </c>
      <c r="E1052" s="41" t="s">
        <v>1783</v>
      </c>
      <c r="F1052" s="28" t="s">
        <v>109</v>
      </c>
      <c r="G1052" s="28" t="s">
        <v>1741</v>
      </c>
      <c r="H1052" s="28" t="s">
        <v>172</v>
      </c>
      <c r="I1052" s="28" t="s">
        <v>172</v>
      </c>
      <c r="J1052" s="25">
        <v>1</v>
      </c>
      <c r="K1052" s="25"/>
      <c r="L1052" s="25"/>
      <c r="M1052" s="46"/>
    </row>
    <row r="1053" ht="18.75" spans="2:14">
      <c r="B1053" s="28">
        <f t="shared" si="20"/>
        <v>52384</v>
      </c>
      <c r="C1053" s="28">
        <v>1</v>
      </c>
      <c r="D1053" s="28" t="s">
        <v>789</v>
      </c>
      <c r="E1053" s="41" t="s">
        <v>1784</v>
      </c>
      <c r="F1053" s="28" t="s">
        <v>109</v>
      </c>
      <c r="G1053" s="28"/>
      <c r="H1053" s="28" t="s">
        <v>172</v>
      </c>
      <c r="I1053" s="28" t="s">
        <v>172</v>
      </c>
      <c r="J1053" s="25">
        <v>1</v>
      </c>
      <c r="K1053" s="25"/>
      <c r="L1053" s="25" t="s">
        <v>1785</v>
      </c>
      <c r="M1053" s="46"/>
      <c r="N1053" s="67"/>
    </row>
    <row r="1054" ht="18.75" spans="2:14">
      <c r="B1054" s="28">
        <f t="shared" si="20"/>
        <v>52385</v>
      </c>
      <c r="C1054" s="28">
        <v>1</v>
      </c>
      <c r="D1054" s="28" t="s">
        <v>1786</v>
      </c>
      <c r="E1054" s="41" t="s">
        <v>1787</v>
      </c>
      <c r="F1054" s="28" t="s">
        <v>109</v>
      </c>
      <c r="G1054" s="28" t="s">
        <v>1441</v>
      </c>
      <c r="H1054" s="28" t="s">
        <v>468</v>
      </c>
      <c r="I1054" s="28" t="s">
        <v>468</v>
      </c>
      <c r="J1054" s="25">
        <v>1</v>
      </c>
      <c r="K1054" s="25"/>
      <c r="L1054" s="25"/>
      <c r="M1054" s="46"/>
    </row>
    <row r="1055" ht="18.75" spans="2:14">
      <c r="B1055" s="28">
        <f t="shared" ref="B1055:B1093" si="21">B1054+C1054</f>
        <v>52386</v>
      </c>
      <c r="C1055" s="28">
        <v>1</v>
      </c>
      <c r="D1055" s="28" t="s">
        <v>1788</v>
      </c>
      <c r="E1055" s="41" t="s">
        <v>1789</v>
      </c>
      <c r="F1055" s="28" t="s">
        <v>109</v>
      </c>
      <c r="G1055" s="28" t="s">
        <v>1441</v>
      </c>
      <c r="H1055" s="28" t="s">
        <v>172</v>
      </c>
      <c r="I1055" s="28" t="s">
        <v>172</v>
      </c>
      <c r="J1055" s="25">
        <v>1</v>
      </c>
      <c r="K1055" s="25"/>
      <c r="L1055" s="25"/>
      <c r="M1055" s="46"/>
    </row>
    <row r="1056" ht="18.75" spans="2:14">
      <c r="B1056" s="28">
        <f t="shared" si="21"/>
        <v>52387</v>
      </c>
      <c r="C1056" s="28">
        <v>1</v>
      </c>
      <c r="D1056" s="28" t="s">
        <v>1790</v>
      </c>
      <c r="E1056" s="41" t="s">
        <v>1791</v>
      </c>
      <c r="F1056" s="28" t="s">
        <v>109</v>
      </c>
      <c r="G1056" s="28" t="s">
        <v>1441</v>
      </c>
      <c r="H1056" s="28" t="s">
        <v>172</v>
      </c>
      <c r="I1056" s="28" t="s">
        <v>172</v>
      </c>
      <c r="J1056" s="25">
        <v>1</v>
      </c>
      <c r="K1056" s="25"/>
      <c r="L1056" s="25"/>
      <c r="M1056" s="46"/>
    </row>
    <row r="1057" ht="18.75" spans="2:14">
      <c r="B1057" s="28">
        <f t="shared" si="21"/>
        <v>52388</v>
      </c>
      <c r="C1057" s="28">
        <v>1</v>
      </c>
      <c r="D1057" s="28" t="s">
        <v>1792</v>
      </c>
      <c r="E1057" s="41" t="s">
        <v>1793</v>
      </c>
      <c r="F1057" s="28" t="s">
        <v>109</v>
      </c>
      <c r="G1057" s="28" t="s">
        <v>1441</v>
      </c>
      <c r="H1057" s="28" t="s">
        <v>468</v>
      </c>
      <c r="I1057" s="28" t="s">
        <v>468</v>
      </c>
      <c r="J1057" s="25">
        <v>1</v>
      </c>
      <c r="K1057" s="25"/>
      <c r="L1057" s="25"/>
      <c r="M1057" s="46"/>
    </row>
    <row r="1058" ht="18.75" spans="2:14">
      <c r="B1058" s="28">
        <f t="shared" si="21"/>
        <v>52389</v>
      </c>
      <c r="C1058" s="28">
        <v>1</v>
      </c>
      <c r="D1058" s="28" t="s">
        <v>1794</v>
      </c>
      <c r="E1058" s="41" t="s">
        <v>1795</v>
      </c>
      <c r="F1058" s="28" t="s">
        <v>109</v>
      </c>
      <c r="G1058" s="28" t="s">
        <v>1441</v>
      </c>
      <c r="H1058" s="28" t="s">
        <v>172</v>
      </c>
      <c r="I1058" s="28" t="s">
        <v>172</v>
      </c>
      <c r="J1058" s="25">
        <v>1</v>
      </c>
      <c r="K1058" s="25"/>
      <c r="L1058" s="25"/>
      <c r="M1058" s="46"/>
    </row>
    <row r="1059" s="34" customFormat="1" ht="37.5" spans="2:14">
      <c r="B1059" s="44">
        <f t="shared" si="21"/>
        <v>52390</v>
      </c>
      <c r="C1059" s="44">
        <v>1</v>
      </c>
      <c r="D1059" s="44" t="s">
        <v>1796</v>
      </c>
      <c r="E1059" s="48" t="s">
        <v>1797</v>
      </c>
      <c r="F1059" s="44" t="s">
        <v>109</v>
      </c>
      <c r="G1059" s="44"/>
      <c r="H1059" s="44" t="s">
        <v>172</v>
      </c>
      <c r="I1059" s="44" t="s">
        <v>172</v>
      </c>
      <c r="J1059" s="66">
        <v>1</v>
      </c>
      <c r="K1059" s="66"/>
      <c r="L1059" s="66" t="s">
        <v>1798</v>
      </c>
      <c r="M1059" s="47"/>
      <c r="N1059" s="67" t="s">
        <v>1719</v>
      </c>
    </row>
    <row r="1060" ht="18.75" spans="2:14">
      <c r="B1060" s="28">
        <f t="shared" si="21"/>
        <v>52391</v>
      </c>
      <c r="C1060" s="28">
        <v>1</v>
      </c>
      <c r="D1060" s="28" t="s">
        <v>1799</v>
      </c>
      <c r="E1060" s="41" t="s">
        <v>1800</v>
      </c>
      <c r="F1060" s="28" t="s">
        <v>109</v>
      </c>
      <c r="G1060" s="28"/>
      <c r="H1060" s="28" t="s">
        <v>172</v>
      </c>
      <c r="I1060" s="28" t="s">
        <v>172</v>
      </c>
      <c r="J1060" s="25">
        <v>1</v>
      </c>
      <c r="K1060" s="25"/>
      <c r="L1060" s="25"/>
      <c r="M1060" s="46"/>
    </row>
    <row r="1061" s="34" customFormat="1" ht="18.75" spans="2:14">
      <c r="B1061" s="44">
        <f t="shared" si="21"/>
        <v>52392</v>
      </c>
      <c r="C1061" s="44">
        <v>1</v>
      </c>
      <c r="D1061" s="44" t="s">
        <v>1801</v>
      </c>
      <c r="E1061" s="48" t="s">
        <v>1802</v>
      </c>
      <c r="F1061" s="44" t="s">
        <v>109</v>
      </c>
      <c r="G1061" s="44"/>
      <c r="H1061" s="44" t="s">
        <v>172</v>
      </c>
      <c r="I1061" s="44" t="s">
        <v>172</v>
      </c>
      <c r="J1061" s="66">
        <v>1</v>
      </c>
      <c r="K1061" s="66"/>
      <c r="L1061" s="66" t="s">
        <v>1803</v>
      </c>
      <c r="M1061" s="47"/>
      <c r="N1061" s="67" t="s">
        <v>1719</v>
      </c>
    </row>
    <row r="1062" ht="18.75" spans="2:14">
      <c r="B1062" s="28">
        <f t="shared" si="21"/>
        <v>52393</v>
      </c>
      <c r="C1062" s="28">
        <v>1</v>
      </c>
      <c r="D1062" s="28" t="s">
        <v>1804</v>
      </c>
      <c r="E1062" s="41" t="s">
        <v>1805</v>
      </c>
      <c r="F1062" s="28" t="s">
        <v>109</v>
      </c>
      <c r="G1062" s="28"/>
      <c r="H1062" s="28" t="s">
        <v>172</v>
      </c>
      <c r="I1062" s="28" t="s">
        <v>172</v>
      </c>
      <c r="J1062" s="25">
        <v>1</v>
      </c>
      <c r="K1062" s="25"/>
      <c r="L1062" s="25"/>
      <c r="M1062" s="46"/>
      <c r="N1062" s="67"/>
    </row>
    <row r="1063" ht="18.75" spans="2:14">
      <c r="B1063" s="28">
        <f t="shared" si="21"/>
        <v>52394</v>
      </c>
      <c r="C1063" s="28">
        <v>1</v>
      </c>
      <c r="D1063" s="28" t="s">
        <v>1806</v>
      </c>
      <c r="E1063" s="41" t="s">
        <v>1807</v>
      </c>
      <c r="F1063" s="28" t="s">
        <v>109</v>
      </c>
      <c r="G1063" s="28"/>
      <c r="H1063" s="28" t="s">
        <v>172</v>
      </c>
      <c r="I1063" s="28" t="s">
        <v>172</v>
      </c>
      <c r="J1063" s="25">
        <v>1</v>
      </c>
      <c r="K1063" s="25"/>
      <c r="L1063" s="25"/>
      <c r="M1063" s="46"/>
    </row>
    <row r="1064" ht="18.75" spans="2:14">
      <c r="B1064" s="28">
        <f t="shared" si="21"/>
        <v>52395</v>
      </c>
      <c r="C1064" s="28">
        <v>1</v>
      </c>
      <c r="D1064" s="28" t="s">
        <v>1808</v>
      </c>
      <c r="E1064" s="41" t="s">
        <v>1809</v>
      </c>
      <c r="F1064" s="28" t="s">
        <v>109</v>
      </c>
      <c r="G1064" s="28"/>
      <c r="H1064" s="28" t="s">
        <v>172</v>
      </c>
      <c r="I1064" s="28" t="s">
        <v>172</v>
      </c>
      <c r="J1064" s="25">
        <v>1</v>
      </c>
      <c r="K1064" s="25"/>
      <c r="L1064" s="25"/>
      <c r="M1064" s="46"/>
    </row>
    <row r="1065" ht="18.75" spans="2:14">
      <c r="B1065" s="28">
        <f t="shared" si="21"/>
        <v>52396</v>
      </c>
      <c r="C1065" s="28">
        <v>1</v>
      </c>
      <c r="D1065" s="28" t="s">
        <v>1810</v>
      </c>
      <c r="E1065" s="41" t="s">
        <v>1811</v>
      </c>
      <c r="F1065" s="28" t="s">
        <v>109</v>
      </c>
      <c r="G1065" s="69"/>
      <c r="H1065" s="28" t="s">
        <v>172</v>
      </c>
      <c r="I1065" s="28" t="s">
        <v>172</v>
      </c>
      <c r="J1065" s="25">
        <v>1</v>
      </c>
      <c r="K1065" s="25"/>
      <c r="L1065" s="25"/>
      <c r="M1065" s="46"/>
    </row>
    <row r="1066" ht="18.75" spans="2:14">
      <c r="B1066" s="28">
        <f t="shared" si="21"/>
        <v>52397</v>
      </c>
      <c r="C1066" s="28">
        <v>1</v>
      </c>
      <c r="D1066" s="28" t="s">
        <v>1812</v>
      </c>
      <c r="E1066" s="41" t="s">
        <v>1813</v>
      </c>
      <c r="F1066" s="28" t="s">
        <v>109</v>
      </c>
      <c r="G1066" s="28"/>
      <c r="H1066" s="28" t="s">
        <v>172</v>
      </c>
      <c r="I1066" s="28" t="s">
        <v>172</v>
      </c>
      <c r="J1066" s="25">
        <v>1</v>
      </c>
      <c r="K1066" s="25"/>
      <c r="L1066" s="25"/>
      <c r="M1066" s="46"/>
    </row>
    <row r="1067" ht="37.5" spans="2:14">
      <c r="B1067" s="28">
        <f t="shared" si="21"/>
        <v>52398</v>
      </c>
      <c r="C1067" s="28">
        <v>1</v>
      </c>
      <c r="D1067" s="28" t="s">
        <v>1814</v>
      </c>
      <c r="E1067" s="41" t="s">
        <v>1815</v>
      </c>
      <c r="F1067" s="28" t="s">
        <v>109</v>
      </c>
      <c r="G1067" s="28"/>
      <c r="H1067" s="28" t="s">
        <v>172</v>
      </c>
      <c r="I1067" s="28" t="s">
        <v>172</v>
      </c>
      <c r="J1067" s="25">
        <v>1</v>
      </c>
      <c r="K1067" s="25"/>
      <c r="L1067" s="25"/>
      <c r="M1067" s="46"/>
    </row>
    <row r="1068" ht="18.75" spans="2:14">
      <c r="B1068" s="28">
        <f t="shared" si="21"/>
        <v>52399</v>
      </c>
      <c r="C1068" s="28">
        <v>1</v>
      </c>
      <c r="D1068" s="28" t="s">
        <v>1816</v>
      </c>
      <c r="E1068" s="41" t="s">
        <v>1817</v>
      </c>
      <c r="F1068" s="28" t="s">
        <v>109</v>
      </c>
      <c r="G1068" s="28"/>
      <c r="H1068" s="28" t="s">
        <v>172</v>
      </c>
      <c r="I1068" s="28" t="s">
        <v>172</v>
      </c>
      <c r="J1068" s="25">
        <v>1</v>
      </c>
      <c r="K1068" s="25"/>
      <c r="L1068" s="25"/>
      <c r="M1068" s="46"/>
    </row>
    <row r="1069" ht="18.75" spans="2:14">
      <c r="B1069" s="28">
        <f t="shared" si="21"/>
        <v>52400</v>
      </c>
      <c r="C1069" s="28">
        <v>1</v>
      </c>
      <c r="D1069" s="28" t="s">
        <v>1818</v>
      </c>
      <c r="E1069" s="41" t="s">
        <v>1819</v>
      </c>
      <c r="F1069" s="28" t="s">
        <v>109</v>
      </c>
      <c r="G1069" s="28"/>
      <c r="H1069" s="28" t="s">
        <v>172</v>
      </c>
      <c r="I1069" s="28" t="s">
        <v>172</v>
      </c>
      <c r="J1069" s="25">
        <v>1</v>
      </c>
      <c r="K1069" s="25"/>
      <c r="L1069" s="25"/>
      <c r="M1069" s="46"/>
    </row>
    <row r="1070" ht="18.75" spans="2:14">
      <c r="B1070" s="28">
        <f t="shared" si="21"/>
        <v>52401</v>
      </c>
      <c r="C1070" s="28">
        <v>1</v>
      </c>
      <c r="D1070" s="28" t="s">
        <v>1820</v>
      </c>
      <c r="E1070" s="41" t="s">
        <v>1821</v>
      </c>
      <c r="F1070" s="28" t="s">
        <v>109</v>
      </c>
      <c r="G1070" s="28"/>
      <c r="H1070" s="28" t="s">
        <v>172</v>
      </c>
      <c r="I1070" s="28" t="s">
        <v>172</v>
      </c>
      <c r="J1070" s="25">
        <v>1</v>
      </c>
      <c r="K1070" s="25"/>
      <c r="L1070" s="25"/>
      <c r="M1070" s="46"/>
    </row>
    <row r="1071" ht="18.75" spans="2:14">
      <c r="B1071" s="28">
        <f t="shared" si="21"/>
        <v>52402</v>
      </c>
      <c r="C1071" s="28">
        <v>1</v>
      </c>
      <c r="D1071" s="28" t="s">
        <v>1822</v>
      </c>
      <c r="E1071" s="41" t="s">
        <v>1823</v>
      </c>
      <c r="F1071" s="28" t="s">
        <v>109</v>
      </c>
      <c r="G1071" s="69"/>
      <c r="H1071" s="28" t="s">
        <v>172</v>
      </c>
      <c r="I1071" s="28" t="s">
        <v>172</v>
      </c>
      <c r="J1071" s="25">
        <v>1</v>
      </c>
      <c r="K1071" s="25"/>
      <c r="L1071" s="25"/>
      <c r="M1071" s="46"/>
    </row>
    <row r="1072" ht="18.75" spans="2:14">
      <c r="B1072" s="28">
        <f t="shared" si="21"/>
        <v>52403</v>
      </c>
      <c r="C1072" s="28">
        <v>1</v>
      </c>
      <c r="D1072" s="28" t="s">
        <v>1824</v>
      </c>
      <c r="E1072" s="41" t="s">
        <v>1825</v>
      </c>
      <c r="F1072" s="28" t="s">
        <v>109</v>
      </c>
      <c r="G1072" s="28"/>
      <c r="H1072" s="28" t="s">
        <v>172</v>
      </c>
      <c r="I1072" s="28" t="s">
        <v>172</v>
      </c>
      <c r="J1072" s="25">
        <v>1</v>
      </c>
      <c r="K1072" s="25"/>
      <c r="L1072" s="25"/>
      <c r="M1072" s="46"/>
    </row>
    <row r="1073" ht="18.75" spans="2:13">
      <c r="B1073" s="28">
        <f t="shared" si="21"/>
        <v>52404</v>
      </c>
      <c r="C1073" s="28">
        <v>1</v>
      </c>
      <c r="D1073" s="28" t="s">
        <v>1826</v>
      </c>
      <c r="E1073" s="41" t="s">
        <v>1827</v>
      </c>
      <c r="F1073" s="28" t="s">
        <v>109</v>
      </c>
      <c r="G1073" s="69"/>
      <c r="H1073" s="28" t="s">
        <v>172</v>
      </c>
      <c r="I1073" s="28" t="s">
        <v>172</v>
      </c>
      <c r="J1073" s="25">
        <v>1</v>
      </c>
      <c r="K1073" s="25"/>
      <c r="L1073" s="25"/>
      <c r="M1073" s="46"/>
    </row>
    <row r="1074" ht="18.75" spans="2:13">
      <c r="B1074" s="28">
        <f t="shared" si="21"/>
        <v>52405</v>
      </c>
      <c r="C1074" s="28">
        <v>1</v>
      </c>
      <c r="D1074" s="28" t="s">
        <v>1828</v>
      </c>
      <c r="E1074" s="41" t="s">
        <v>1829</v>
      </c>
      <c r="F1074" s="28" t="s">
        <v>109</v>
      </c>
      <c r="G1074" s="28"/>
      <c r="H1074" s="28" t="s">
        <v>172</v>
      </c>
      <c r="I1074" s="28" t="s">
        <v>172</v>
      </c>
      <c r="J1074" s="25">
        <v>1</v>
      </c>
      <c r="K1074" s="25"/>
      <c r="L1074" s="25"/>
      <c r="M1074" s="46"/>
    </row>
    <row r="1075" ht="18.75" spans="2:13">
      <c r="B1075" s="28">
        <f t="shared" si="21"/>
        <v>52406</v>
      </c>
      <c r="C1075" s="28">
        <v>1</v>
      </c>
      <c r="D1075" s="28" t="s">
        <v>1830</v>
      </c>
      <c r="E1075" s="41" t="s">
        <v>1831</v>
      </c>
      <c r="F1075" s="28" t="s">
        <v>109</v>
      </c>
      <c r="G1075" s="28"/>
      <c r="H1075" s="28" t="s">
        <v>172</v>
      </c>
      <c r="I1075" s="28" t="s">
        <v>172</v>
      </c>
      <c r="J1075" s="25">
        <v>1</v>
      </c>
      <c r="K1075" s="25"/>
      <c r="L1075" s="25"/>
      <c r="M1075" s="46"/>
    </row>
    <row r="1076" ht="37.5" spans="2:13">
      <c r="B1076" s="28">
        <f t="shared" si="21"/>
        <v>52407</v>
      </c>
      <c r="C1076" s="28">
        <v>1</v>
      </c>
      <c r="D1076" s="28" t="s">
        <v>1832</v>
      </c>
      <c r="E1076" s="41" t="s">
        <v>1833</v>
      </c>
      <c r="F1076" s="28" t="s">
        <v>109</v>
      </c>
      <c r="G1076" s="28"/>
      <c r="H1076" s="28" t="s">
        <v>172</v>
      </c>
      <c r="I1076" s="28" t="s">
        <v>172</v>
      </c>
      <c r="J1076" s="25">
        <v>1</v>
      </c>
      <c r="K1076" s="25"/>
      <c r="L1076" s="25"/>
      <c r="M1076" s="46"/>
    </row>
    <row r="1077" ht="18.75" spans="2:13">
      <c r="B1077" s="28">
        <f t="shared" si="21"/>
        <v>52408</v>
      </c>
      <c r="C1077" s="28">
        <v>1</v>
      </c>
      <c r="D1077" s="28" t="s">
        <v>1834</v>
      </c>
      <c r="E1077" s="41" t="s">
        <v>1835</v>
      </c>
      <c r="F1077" s="28" t="s">
        <v>109</v>
      </c>
      <c r="G1077" s="28"/>
      <c r="H1077" s="28" t="s">
        <v>172</v>
      </c>
      <c r="I1077" s="28" t="s">
        <v>172</v>
      </c>
      <c r="J1077" s="25">
        <v>1</v>
      </c>
      <c r="K1077" s="25"/>
      <c r="L1077" s="25"/>
      <c r="M1077" s="46"/>
    </row>
    <row r="1078" ht="18.75" spans="2:13">
      <c r="B1078" s="28">
        <f t="shared" si="21"/>
        <v>52409</v>
      </c>
      <c r="C1078" s="28">
        <v>1</v>
      </c>
      <c r="D1078" s="28" t="s">
        <v>1836</v>
      </c>
      <c r="E1078" s="41" t="s">
        <v>1837</v>
      </c>
      <c r="F1078" s="28" t="s">
        <v>109</v>
      </c>
      <c r="G1078" s="28"/>
      <c r="H1078" s="28" t="s">
        <v>172</v>
      </c>
      <c r="I1078" s="28" t="s">
        <v>172</v>
      </c>
      <c r="J1078" s="25">
        <v>1</v>
      </c>
      <c r="K1078" s="25"/>
      <c r="L1078" s="25"/>
      <c r="M1078" s="46"/>
    </row>
    <row r="1079" ht="18.75" spans="2:13">
      <c r="B1079" s="28">
        <f t="shared" si="21"/>
        <v>52410</v>
      </c>
      <c r="C1079" s="28">
        <v>1</v>
      </c>
      <c r="D1079" s="28" t="s">
        <v>1838</v>
      </c>
      <c r="E1079" s="41" t="s">
        <v>1839</v>
      </c>
      <c r="F1079" s="28" t="s">
        <v>109</v>
      </c>
      <c r="G1079" s="28"/>
      <c r="H1079" s="28" t="s">
        <v>172</v>
      </c>
      <c r="I1079" s="28" t="s">
        <v>172</v>
      </c>
      <c r="J1079" s="25">
        <v>1</v>
      </c>
      <c r="K1079" s="25"/>
      <c r="L1079" s="25"/>
      <c r="M1079" s="46"/>
    </row>
    <row r="1080" ht="18.75" spans="2:13">
      <c r="B1080" s="28">
        <f t="shared" si="21"/>
        <v>52411</v>
      </c>
      <c r="C1080" s="28">
        <v>1</v>
      </c>
      <c r="D1080" s="28" t="s">
        <v>1840</v>
      </c>
      <c r="E1080" s="41" t="s">
        <v>1841</v>
      </c>
      <c r="F1080" s="28" t="s">
        <v>109</v>
      </c>
      <c r="G1080" s="28"/>
      <c r="H1080" s="28" t="s">
        <v>172</v>
      </c>
      <c r="I1080" s="28" t="s">
        <v>172</v>
      </c>
      <c r="J1080" s="25">
        <v>1</v>
      </c>
      <c r="K1080" s="25"/>
      <c r="L1080" s="25"/>
      <c r="M1080" s="46"/>
    </row>
    <row r="1081" ht="18.75" spans="2:13">
      <c r="B1081" s="28">
        <f t="shared" si="21"/>
        <v>52412</v>
      </c>
      <c r="C1081" s="28">
        <v>1</v>
      </c>
      <c r="D1081" s="28" t="s">
        <v>1842</v>
      </c>
      <c r="E1081" s="41" t="s">
        <v>1843</v>
      </c>
      <c r="F1081" s="28" t="s">
        <v>109</v>
      </c>
      <c r="G1081" s="28"/>
      <c r="H1081" s="28" t="s">
        <v>172</v>
      </c>
      <c r="I1081" s="28" t="s">
        <v>172</v>
      </c>
      <c r="J1081" s="25">
        <v>1</v>
      </c>
      <c r="K1081" s="25"/>
      <c r="L1081" s="25"/>
      <c r="M1081" s="46"/>
    </row>
    <row r="1082" ht="18.75" spans="2:13">
      <c r="B1082" s="28">
        <f t="shared" si="21"/>
        <v>52413</v>
      </c>
      <c r="C1082" s="28">
        <v>1</v>
      </c>
      <c r="D1082" s="28" t="s">
        <v>1844</v>
      </c>
      <c r="E1082" s="41" t="s">
        <v>1845</v>
      </c>
      <c r="F1082" s="28" t="s">
        <v>109</v>
      </c>
      <c r="G1082" s="28"/>
      <c r="H1082" s="28" t="s">
        <v>172</v>
      </c>
      <c r="I1082" s="28" t="s">
        <v>172</v>
      </c>
      <c r="J1082" s="25">
        <v>1</v>
      </c>
      <c r="K1082" s="25"/>
      <c r="L1082" s="25"/>
      <c r="M1082" s="46"/>
    </row>
    <row r="1083" ht="18.75" spans="2:13">
      <c r="B1083" s="28">
        <f t="shared" si="21"/>
        <v>52414</v>
      </c>
      <c r="C1083" s="28">
        <v>1</v>
      </c>
      <c r="D1083" s="28" t="s">
        <v>1846</v>
      </c>
      <c r="E1083" s="41" t="s">
        <v>1847</v>
      </c>
      <c r="F1083" s="28" t="s">
        <v>109</v>
      </c>
      <c r="G1083" s="28"/>
      <c r="H1083" s="28" t="s">
        <v>172</v>
      </c>
      <c r="I1083" s="28" t="s">
        <v>172</v>
      </c>
      <c r="J1083" s="25">
        <v>1</v>
      </c>
      <c r="K1083" s="25"/>
      <c r="L1083" s="25"/>
      <c r="M1083" s="46"/>
    </row>
    <row r="1084" ht="18.75" spans="2:13">
      <c r="B1084" s="28">
        <f t="shared" si="21"/>
        <v>52415</v>
      </c>
      <c r="C1084" s="28">
        <v>1</v>
      </c>
      <c r="D1084" s="28" t="s">
        <v>1848</v>
      </c>
      <c r="E1084" s="41" t="s">
        <v>1849</v>
      </c>
      <c r="F1084" s="28" t="s">
        <v>109</v>
      </c>
      <c r="G1084" s="28"/>
      <c r="H1084" s="28" t="s">
        <v>172</v>
      </c>
      <c r="I1084" s="28" t="s">
        <v>172</v>
      </c>
      <c r="J1084" s="25">
        <v>1</v>
      </c>
      <c r="K1084" s="25"/>
      <c r="L1084" s="25"/>
      <c r="M1084" s="46"/>
    </row>
    <row r="1085" ht="18.75" spans="2:13">
      <c r="B1085" s="28">
        <f t="shared" si="21"/>
        <v>52416</v>
      </c>
      <c r="C1085" s="28">
        <v>1</v>
      </c>
      <c r="D1085" s="28" t="s">
        <v>1850</v>
      </c>
      <c r="E1085" s="41" t="s">
        <v>1851</v>
      </c>
      <c r="F1085" s="28" t="s">
        <v>109</v>
      </c>
      <c r="G1085" s="28"/>
      <c r="H1085" s="28" t="s">
        <v>172</v>
      </c>
      <c r="I1085" s="28" t="s">
        <v>172</v>
      </c>
      <c r="J1085" s="25">
        <v>1</v>
      </c>
      <c r="K1085" s="25"/>
      <c r="L1085" s="25"/>
      <c r="M1085" s="46"/>
    </row>
    <row r="1086" ht="18.75" spans="2:13">
      <c r="B1086" s="28">
        <f t="shared" si="21"/>
        <v>52417</v>
      </c>
      <c r="C1086" s="28">
        <v>1</v>
      </c>
      <c r="D1086" s="28" t="s">
        <v>1852</v>
      </c>
      <c r="E1086" s="41" t="s">
        <v>1853</v>
      </c>
      <c r="F1086" s="28" t="s">
        <v>109</v>
      </c>
      <c r="G1086" s="28"/>
      <c r="H1086" s="28" t="s">
        <v>172</v>
      </c>
      <c r="I1086" s="28" t="s">
        <v>172</v>
      </c>
      <c r="J1086" s="25">
        <v>1</v>
      </c>
      <c r="K1086" s="25"/>
      <c r="L1086" s="25"/>
      <c r="M1086" s="46"/>
    </row>
    <row r="1087" ht="37.5" spans="2:13">
      <c r="B1087" s="28">
        <f t="shared" si="21"/>
        <v>52418</v>
      </c>
      <c r="C1087" s="28">
        <v>1</v>
      </c>
      <c r="D1087" s="28" t="s">
        <v>1854</v>
      </c>
      <c r="E1087" s="41" t="s">
        <v>1855</v>
      </c>
      <c r="F1087" s="28" t="s">
        <v>109</v>
      </c>
      <c r="G1087" s="28"/>
      <c r="H1087" s="28" t="s">
        <v>172</v>
      </c>
      <c r="I1087" s="28" t="s">
        <v>172</v>
      </c>
      <c r="J1087" s="25">
        <v>1</v>
      </c>
      <c r="K1087" s="25"/>
      <c r="L1087" s="25"/>
      <c r="M1087" s="46"/>
    </row>
    <row r="1088" ht="37.5" spans="2:13">
      <c r="B1088" s="28">
        <f t="shared" si="21"/>
        <v>52419</v>
      </c>
      <c r="C1088" s="28">
        <v>1</v>
      </c>
      <c r="D1088" s="28" t="s">
        <v>1856</v>
      </c>
      <c r="E1088" s="41" t="s">
        <v>1857</v>
      </c>
      <c r="F1088" s="28" t="s">
        <v>109</v>
      </c>
      <c r="G1088" s="28"/>
      <c r="H1088" s="28" t="s">
        <v>172</v>
      </c>
      <c r="I1088" s="28" t="s">
        <v>172</v>
      </c>
      <c r="J1088" s="25">
        <v>1</v>
      </c>
      <c r="K1088" s="25"/>
      <c r="L1088" s="25"/>
      <c r="M1088" s="46"/>
    </row>
    <row r="1089" ht="37.5" spans="2:14">
      <c r="B1089" s="28">
        <f t="shared" si="21"/>
        <v>52420</v>
      </c>
      <c r="C1089" s="28">
        <v>1</v>
      </c>
      <c r="D1089" s="28" t="s">
        <v>1858</v>
      </c>
      <c r="E1089" s="41" t="s">
        <v>1859</v>
      </c>
      <c r="F1089" s="28" t="s">
        <v>109</v>
      </c>
      <c r="G1089" s="28"/>
      <c r="H1089" s="28" t="s">
        <v>172</v>
      </c>
      <c r="I1089" s="28" t="s">
        <v>172</v>
      </c>
      <c r="J1089" s="25">
        <v>1</v>
      </c>
      <c r="K1089" s="25"/>
      <c r="L1089" s="25"/>
      <c r="M1089" s="46"/>
    </row>
    <row r="1090" ht="37.5" spans="2:14">
      <c r="B1090" s="28">
        <f t="shared" si="21"/>
        <v>52421</v>
      </c>
      <c r="C1090" s="28">
        <v>1</v>
      </c>
      <c r="D1090" s="28" t="s">
        <v>1860</v>
      </c>
      <c r="E1090" s="41" t="s">
        <v>1861</v>
      </c>
      <c r="F1090" s="28" t="s">
        <v>109</v>
      </c>
      <c r="G1090" s="28"/>
      <c r="H1090" s="28" t="s">
        <v>172</v>
      </c>
      <c r="I1090" s="28" t="s">
        <v>172</v>
      </c>
      <c r="J1090" s="25">
        <v>1</v>
      </c>
      <c r="K1090" s="25"/>
      <c r="L1090" s="25"/>
      <c r="M1090" s="46"/>
    </row>
    <row r="1091" ht="18.75" spans="2:14">
      <c r="B1091" s="28">
        <f t="shared" si="21"/>
        <v>52422</v>
      </c>
      <c r="C1091" s="28">
        <v>1</v>
      </c>
      <c r="D1091" s="28" t="s">
        <v>1862</v>
      </c>
      <c r="E1091" s="41" t="s">
        <v>1863</v>
      </c>
      <c r="F1091" s="28" t="s">
        <v>109</v>
      </c>
      <c r="G1091" s="28"/>
      <c r="H1091" s="28" t="s">
        <v>172</v>
      </c>
      <c r="I1091" s="28" t="s">
        <v>172</v>
      </c>
      <c r="J1091" s="25">
        <v>1</v>
      </c>
      <c r="K1091" s="25"/>
      <c r="L1091" s="25"/>
      <c r="M1091" s="46"/>
    </row>
    <row r="1092" ht="18.75" spans="2:14">
      <c r="B1092" s="28">
        <f t="shared" si="21"/>
        <v>52423</v>
      </c>
      <c r="C1092" s="28">
        <v>1</v>
      </c>
      <c r="D1092" s="28" t="s">
        <v>1864</v>
      </c>
      <c r="E1092" s="41" t="s">
        <v>1865</v>
      </c>
      <c r="F1092" s="28" t="s">
        <v>109</v>
      </c>
      <c r="G1092" s="28"/>
      <c r="H1092" s="28" t="s">
        <v>172</v>
      </c>
      <c r="I1092" s="28" t="s">
        <v>172</v>
      </c>
      <c r="J1092" s="25">
        <v>1</v>
      </c>
      <c r="K1092" s="25"/>
      <c r="L1092" s="25"/>
      <c r="M1092" s="46"/>
    </row>
    <row r="1093" ht="18.75" spans="2:14">
      <c r="B1093" s="28">
        <f t="shared" si="21"/>
        <v>52424</v>
      </c>
      <c r="C1093" s="28">
        <v>1</v>
      </c>
      <c r="D1093" s="28" t="s">
        <v>440</v>
      </c>
      <c r="E1093" s="41" t="s">
        <v>1866</v>
      </c>
      <c r="F1093" s="28" t="s">
        <v>109</v>
      </c>
      <c r="G1093" s="28"/>
      <c r="H1093" s="28" t="s">
        <v>230</v>
      </c>
      <c r="I1093" s="28" t="s">
        <v>230</v>
      </c>
      <c r="J1093" s="25">
        <v>1</v>
      </c>
      <c r="K1093" s="25"/>
      <c r="L1093" s="25" t="s">
        <v>1867</v>
      </c>
      <c r="M1093" s="46"/>
      <c r="N1093" s="67"/>
    </row>
    <row r="1094" ht="18.75" spans="2:14">
      <c r="B1094" s="39" t="s">
        <v>1868</v>
      </c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46"/>
    </row>
    <row r="1095" s="34" customFormat="1" ht="18.75" spans="2:14">
      <c r="B1095" s="44">
        <v>60544</v>
      </c>
      <c r="C1095" s="44">
        <v>1</v>
      </c>
      <c r="D1095" s="44" t="s">
        <v>236</v>
      </c>
      <c r="E1095" s="48" t="s">
        <v>237</v>
      </c>
      <c r="F1095" s="44" t="s">
        <v>109</v>
      </c>
      <c r="G1095" s="44"/>
      <c r="H1095" s="44" t="s">
        <v>230</v>
      </c>
      <c r="I1095" s="44" t="s">
        <v>230</v>
      </c>
      <c r="J1095" s="44">
        <v>1</v>
      </c>
      <c r="K1095" s="44"/>
      <c r="L1095" s="44" t="s">
        <v>1869</v>
      </c>
      <c r="M1095" s="47"/>
      <c r="N1095" s="67" t="s">
        <v>1719</v>
      </c>
    </row>
    <row r="1096" s="34" customFormat="1" ht="18.75" spans="2:14">
      <c r="B1096" s="44">
        <f t="shared" ref="B1096:B1135" si="22">B1095+C1095</f>
        <v>60545</v>
      </c>
      <c r="C1096" s="44">
        <v>1</v>
      </c>
      <c r="D1096" s="44" t="s">
        <v>228</v>
      </c>
      <c r="E1096" s="48" t="s">
        <v>229</v>
      </c>
      <c r="F1096" s="44" t="s">
        <v>109</v>
      </c>
      <c r="G1096" s="44"/>
      <c r="H1096" s="44" t="s">
        <v>230</v>
      </c>
      <c r="I1096" s="44" t="s">
        <v>230</v>
      </c>
      <c r="J1096" s="44">
        <v>1</v>
      </c>
      <c r="K1096" s="44"/>
      <c r="L1096" s="70" t="s">
        <v>1870</v>
      </c>
      <c r="M1096" s="47"/>
      <c r="N1096" s="67" t="s">
        <v>1719</v>
      </c>
    </row>
    <row r="1097" s="34" customFormat="1" ht="18.75" spans="2:14">
      <c r="B1097" s="44">
        <f t="shared" si="22"/>
        <v>60546</v>
      </c>
      <c r="C1097" s="44">
        <v>1</v>
      </c>
      <c r="D1097" s="44" t="s">
        <v>1871</v>
      </c>
      <c r="E1097" s="48" t="s">
        <v>869</v>
      </c>
      <c r="F1097" s="44" t="s">
        <v>109</v>
      </c>
      <c r="G1097" s="44"/>
      <c r="H1097" s="44" t="s">
        <v>230</v>
      </c>
      <c r="I1097" s="44" t="s">
        <v>230</v>
      </c>
      <c r="J1097" s="44">
        <v>1</v>
      </c>
      <c r="K1097" s="44"/>
      <c r="L1097" s="70" t="s">
        <v>1870</v>
      </c>
      <c r="M1097" s="47"/>
      <c r="N1097" s="67" t="s">
        <v>1719</v>
      </c>
    </row>
    <row r="1098" s="34" customFormat="1" ht="18.75" spans="2:14">
      <c r="B1098" s="44">
        <f t="shared" si="22"/>
        <v>60547</v>
      </c>
      <c r="C1098" s="44">
        <v>1</v>
      </c>
      <c r="D1098" s="44" t="s">
        <v>1872</v>
      </c>
      <c r="E1098" s="48" t="s">
        <v>1873</v>
      </c>
      <c r="F1098" s="44" t="s">
        <v>109</v>
      </c>
      <c r="G1098" s="44"/>
      <c r="H1098" s="44" t="s">
        <v>230</v>
      </c>
      <c r="I1098" s="44" t="s">
        <v>230</v>
      </c>
      <c r="J1098" s="44">
        <v>1</v>
      </c>
      <c r="K1098" s="44"/>
      <c r="L1098" s="70" t="s">
        <v>1874</v>
      </c>
      <c r="M1098" s="47"/>
      <c r="N1098" s="67" t="s">
        <v>1719</v>
      </c>
    </row>
    <row r="1099" s="34" customFormat="1" ht="37.5" spans="2:14">
      <c r="B1099" s="44">
        <f t="shared" si="22"/>
        <v>60548</v>
      </c>
      <c r="C1099" s="44">
        <v>1</v>
      </c>
      <c r="D1099" s="44" t="s">
        <v>1875</v>
      </c>
      <c r="E1099" s="48" t="s">
        <v>1876</v>
      </c>
      <c r="F1099" s="44" t="s">
        <v>109</v>
      </c>
      <c r="G1099" s="44"/>
      <c r="H1099" s="44" t="s">
        <v>230</v>
      </c>
      <c r="I1099" s="44" t="s">
        <v>230</v>
      </c>
      <c r="J1099" s="44">
        <v>1</v>
      </c>
      <c r="K1099" s="44"/>
      <c r="L1099" s="70" t="s">
        <v>1874</v>
      </c>
      <c r="M1099" s="47"/>
      <c r="N1099" s="67" t="s">
        <v>1719</v>
      </c>
    </row>
    <row r="1100" s="34" customFormat="1" ht="18.75" spans="2:14">
      <c r="B1100" s="44">
        <f t="shared" si="22"/>
        <v>60549</v>
      </c>
      <c r="C1100" s="44">
        <v>1</v>
      </c>
      <c r="D1100" s="44" t="s">
        <v>1877</v>
      </c>
      <c r="E1100" s="48" t="s">
        <v>1878</v>
      </c>
      <c r="F1100" s="44" t="s">
        <v>109</v>
      </c>
      <c r="G1100" s="44"/>
      <c r="H1100" s="44" t="s">
        <v>230</v>
      </c>
      <c r="I1100" s="44" t="s">
        <v>230</v>
      </c>
      <c r="J1100" s="44">
        <v>1</v>
      </c>
      <c r="K1100" s="44"/>
      <c r="L1100" s="70" t="s">
        <v>1879</v>
      </c>
      <c r="M1100" s="47"/>
      <c r="N1100" s="67" t="s">
        <v>1719</v>
      </c>
    </row>
    <row r="1101" s="34" customFormat="1" ht="18.75" spans="2:14">
      <c r="B1101" s="44">
        <f t="shared" si="22"/>
        <v>60550</v>
      </c>
      <c r="C1101" s="44">
        <v>1</v>
      </c>
      <c r="D1101" s="44" t="s">
        <v>1880</v>
      </c>
      <c r="E1101" s="48" t="s">
        <v>1881</v>
      </c>
      <c r="F1101" s="44" t="s">
        <v>109</v>
      </c>
      <c r="G1101" s="44"/>
      <c r="H1101" s="44" t="s">
        <v>230</v>
      </c>
      <c r="I1101" s="44" t="s">
        <v>230</v>
      </c>
      <c r="J1101" s="44">
        <v>1</v>
      </c>
      <c r="K1101" s="44"/>
      <c r="L1101" s="70" t="s">
        <v>1874</v>
      </c>
      <c r="M1101" s="47"/>
      <c r="N1101" s="67" t="s">
        <v>1719</v>
      </c>
    </row>
    <row r="1102" s="34" customFormat="1" ht="18.75" spans="2:14">
      <c r="B1102" s="44">
        <f t="shared" si="22"/>
        <v>60551</v>
      </c>
      <c r="C1102" s="44">
        <v>1</v>
      </c>
      <c r="D1102" s="44" t="s">
        <v>1882</v>
      </c>
      <c r="E1102" s="48" t="s">
        <v>1883</v>
      </c>
      <c r="F1102" s="44" t="s">
        <v>109</v>
      </c>
      <c r="G1102" s="44"/>
      <c r="H1102" s="44" t="s">
        <v>230</v>
      </c>
      <c r="I1102" s="44" t="s">
        <v>230</v>
      </c>
      <c r="J1102" s="44">
        <v>1</v>
      </c>
      <c r="K1102" s="44"/>
      <c r="L1102" s="70" t="s">
        <v>1874</v>
      </c>
      <c r="M1102" s="47"/>
      <c r="N1102" s="67" t="s">
        <v>1719</v>
      </c>
    </row>
    <row r="1103" s="34" customFormat="1" ht="37.5" spans="2:14">
      <c r="B1103" s="44">
        <f t="shared" si="22"/>
        <v>60552</v>
      </c>
      <c r="C1103" s="44">
        <v>1</v>
      </c>
      <c r="D1103" s="44" t="s">
        <v>1884</v>
      </c>
      <c r="E1103" s="48" t="s">
        <v>1885</v>
      </c>
      <c r="F1103" s="44" t="s">
        <v>109</v>
      </c>
      <c r="G1103" s="44"/>
      <c r="H1103" s="44" t="s">
        <v>230</v>
      </c>
      <c r="I1103" s="44" t="s">
        <v>230</v>
      </c>
      <c r="J1103" s="44">
        <v>1</v>
      </c>
      <c r="K1103" s="44"/>
      <c r="L1103" s="70" t="s">
        <v>1874</v>
      </c>
      <c r="M1103" s="47"/>
      <c r="N1103" s="67" t="s">
        <v>1719</v>
      </c>
    </row>
    <row r="1104" s="34" customFormat="1" ht="18.75" spans="2:14">
      <c r="B1104" s="44">
        <f t="shared" si="22"/>
        <v>60553</v>
      </c>
      <c r="C1104" s="44">
        <v>1</v>
      </c>
      <c r="D1104" s="44" t="s">
        <v>1886</v>
      </c>
      <c r="E1104" s="48" t="s">
        <v>1887</v>
      </c>
      <c r="F1104" s="44" t="s">
        <v>109</v>
      </c>
      <c r="G1104" s="44"/>
      <c r="H1104" s="44" t="s">
        <v>230</v>
      </c>
      <c r="I1104" s="44" t="s">
        <v>230</v>
      </c>
      <c r="J1104" s="44">
        <v>1</v>
      </c>
      <c r="K1104" s="44"/>
      <c r="L1104" s="70" t="s">
        <v>1879</v>
      </c>
      <c r="M1104" s="47"/>
      <c r="N1104" s="67" t="s">
        <v>1719</v>
      </c>
    </row>
    <row r="1105" s="34" customFormat="1" ht="18.75" spans="2:14">
      <c r="B1105" s="44">
        <f t="shared" si="22"/>
        <v>60554</v>
      </c>
      <c r="C1105" s="44">
        <v>1</v>
      </c>
      <c r="D1105" s="44" t="s">
        <v>239</v>
      </c>
      <c r="E1105" s="48" t="s">
        <v>240</v>
      </c>
      <c r="F1105" s="44" t="s">
        <v>109</v>
      </c>
      <c r="G1105" s="44"/>
      <c r="H1105" s="44" t="s">
        <v>230</v>
      </c>
      <c r="I1105" s="44" t="s">
        <v>230</v>
      </c>
      <c r="J1105" s="44">
        <v>1</v>
      </c>
      <c r="K1105" s="44"/>
      <c r="L1105" s="70" t="s">
        <v>1874</v>
      </c>
      <c r="M1105" s="47"/>
      <c r="N1105" s="67" t="s">
        <v>1719</v>
      </c>
    </row>
    <row r="1106" s="34" customFormat="1" ht="18.75" spans="2:14">
      <c r="B1106" s="44">
        <f t="shared" si="22"/>
        <v>60555</v>
      </c>
      <c r="C1106" s="44">
        <v>1</v>
      </c>
      <c r="D1106" s="44" t="s">
        <v>1888</v>
      </c>
      <c r="E1106" s="48" t="s">
        <v>1889</v>
      </c>
      <c r="F1106" s="44" t="s">
        <v>109</v>
      </c>
      <c r="G1106" s="44"/>
      <c r="H1106" s="44" t="s">
        <v>230</v>
      </c>
      <c r="I1106" s="44" t="s">
        <v>230</v>
      </c>
      <c r="J1106" s="44">
        <v>1</v>
      </c>
      <c r="K1106" s="44"/>
      <c r="L1106" s="70"/>
      <c r="M1106" s="47"/>
      <c r="N1106" s="67" t="s">
        <v>1719</v>
      </c>
    </row>
    <row r="1107" s="34" customFormat="1" ht="18.75" spans="2:14">
      <c r="B1107" s="44">
        <f t="shared" si="22"/>
        <v>60556</v>
      </c>
      <c r="C1107" s="44">
        <v>1</v>
      </c>
      <c r="D1107" s="44" t="s">
        <v>1890</v>
      </c>
      <c r="E1107" s="48" t="s">
        <v>1891</v>
      </c>
      <c r="F1107" s="44" t="s">
        <v>109</v>
      </c>
      <c r="G1107" s="44"/>
      <c r="H1107" s="44" t="s">
        <v>230</v>
      </c>
      <c r="I1107" s="44" t="s">
        <v>230</v>
      </c>
      <c r="J1107" s="44">
        <v>1</v>
      </c>
      <c r="K1107" s="44"/>
      <c r="L1107" s="70" t="s">
        <v>1874</v>
      </c>
      <c r="M1107" s="47"/>
      <c r="N1107" s="67" t="s">
        <v>1719</v>
      </c>
    </row>
    <row r="1108" s="34" customFormat="1" ht="18.75" spans="2:14">
      <c r="B1108" s="44">
        <f t="shared" si="22"/>
        <v>60557</v>
      </c>
      <c r="C1108" s="44">
        <v>1</v>
      </c>
      <c r="D1108" s="44" t="s">
        <v>1892</v>
      </c>
      <c r="E1108" s="48" t="s">
        <v>1893</v>
      </c>
      <c r="F1108" s="44" t="s">
        <v>109</v>
      </c>
      <c r="G1108" s="44"/>
      <c r="H1108" s="44" t="s">
        <v>230</v>
      </c>
      <c r="I1108" s="44" t="s">
        <v>230</v>
      </c>
      <c r="J1108" s="44">
        <v>1</v>
      </c>
      <c r="K1108" s="44"/>
      <c r="L1108" s="70" t="s">
        <v>1874</v>
      </c>
      <c r="M1108" s="47"/>
      <c r="N1108" s="67" t="s">
        <v>1719</v>
      </c>
    </row>
    <row r="1109" s="34" customFormat="1" ht="18.75" spans="2:14">
      <c r="B1109" s="44">
        <f t="shared" si="22"/>
        <v>60558</v>
      </c>
      <c r="C1109" s="44">
        <v>1</v>
      </c>
      <c r="D1109" s="44" t="s">
        <v>1894</v>
      </c>
      <c r="E1109" s="48" t="s">
        <v>1895</v>
      </c>
      <c r="F1109" s="44" t="s">
        <v>109</v>
      </c>
      <c r="G1109" s="44"/>
      <c r="H1109" s="44" t="s">
        <v>230</v>
      </c>
      <c r="I1109" s="44" t="s">
        <v>230</v>
      </c>
      <c r="J1109" s="44">
        <v>1</v>
      </c>
      <c r="K1109" s="44"/>
      <c r="L1109" s="70" t="s">
        <v>1896</v>
      </c>
      <c r="M1109" s="47"/>
      <c r="N1109" s="67" t="s">
        <v>1719</v>
      </c>
    </row>
    <row r="1110" s="34" customFormat="1" ht="18.75" spans="2:14">
      <c r="B1110" s="44">
        <f t="shared" si="22"/>
        <v>60559</v>
      </c>
      <c r="C1110" s="44">
        <v>1</v>
      </c>
      <c r="D1110" s="44" t="s">
        <v>1897</v>
      </c>
      <c r="E1110" s="48" t="s">
        <v>1898</v>
      </c>
      <c r="F1110" s="44" t="s">
        <v>109</v>
      </c>
      <c r="G1110" s="44"/>
      <c r="H1110" s="44" t="s">
        <v>230</v>
      </c>
      <c r="I1110" s="44" t="s">
        <v>230</v>
      </c>
      <c r="J1110" s="44">
        <v>1</v>
      </c>
      <c r="K1110" s="44"/>
      <c r="L1110" s="70" t="s">
        <v>1896</v>
      </c>
      <c r="M1110" s="47"/>
      <c r="N1110" s="67" t="s">
        <v>1719</v>
      </c>
    </row>
    <row r="1111" s="34" customFormat="1" ht="18.75" spans="2:14">
      <c r="B1111" s="44">
        <f t="shared" si="22"/>
        <v>60560</v>
      </c>
      <c r="C1111" s="44">
        <v>1</v>
      </c>
      <c r="D1111" s="44" t="s">
        <v>247</v>
      </c>
      <c r="E1111" s="48" t="s">
        <v>248</v>
      </c>
      <c r="F1111" s="44" t="s">
        <v>109</v>
      </c>
      <c r="G1111" s="44"/>
      <c r="H1111" s="44" t="s">
        <v>230</v>
      </c>
      <c r="I1111" s="44" t="s">
        <v>230</v>
      </c>
      <c r="J1111" s="44">
        <v>1</v>
      </c>
      <c r="K1111" s="44"/>
      <c r="L1111" s="70" t="s">
        <v>245</v>
      </c>
      <c r="M1111" s="47"/>
      <c r="N1111" s="67" t="s">
        <v>1719</v>
      </c>
    </row>
    <row r="1112" s="34" customFormat="1" ht="18.75" spans="2:14">
      <c r="B1112" s="44">
        <f t="shared" si="22"/>
        <v>60561</v>
      </c>
      <c r="C1112" s="44">
        <v>1</v>
      </c>
      <c r="D1112" s="44" t="s">
        <v>1899</v>
      </c>
      <c r="E1112" s="48" t="s">
        <v>1900</v>
      </c>
      <c r="F1112" s="44" t="s">
        <v>109</v>
      </c>
      <c r="G1112" s="44"/>
      <c r="H1112" s="44" t="s">
        <v>230</v>
      </c>
      <c r="I1112" s="44" t="s">
        <v>230</v>
      </c>
      <c r="J1112" s="44">
        <v>1</v>
      </c>
      <c r="K1112" s="44"/>
      <c r="L1112" s="70" t="s">
        <v>245</v>
      </c>
      <c r="M1112" s="47"/>
      <c r="N1112" s="67" t="s">
        <v>1719</v>
      </c>
    </row>
    <row r="1113" s="34" customFormat="1" ht="18.75" spans="2:14">
      <c r="B1113" s="44">
        <f t="shared" si="22"/>
        <v>60562</v>
      </c>
      <c r="C1113" s="44">
        <v>1</v>
      </c>
      <c r="D1113" s="44" t="s">
        <v>1901</v>
      </c>
      <c r="E1113" s="48" t="s">
        <v>1902</v>
      </c>
      <c r="F1113" s="44" t="s">
        <v>109</v>
      </c>
      <c r="G1113" s="44"/>
      <c r="H1113" s="44" t="s">
        <v>230</v>
      </c>
      <c r="I1113" s="44" t="s">
        <v>230</v>
      </c>
      <c r="J1113" s="44">
        <v>1</v>
      </c>
      <c r="K1113" s="44"/>
      <c r="L1113" s="70" t="s">
        <v>1903</v>
      </c>
      <c r="M1113" s="47"/>
      <c r="N1113" s="67" t="s">
        <v>1719</v>
      </c>
    </row>
    <row r="1114" s="34" customFormat="1" ht="18.75" spans="2:14">
      <c r="B1114" s="44">
        <f t="shared" si="22"/>
        <v>60563</v>
      </c>
      <c r="C1114" s="44">
        <v>1</v>
      </c>
      <c r="D1114" s="44" t="s">
        <v>1904</v>
      </c>
      <c r="E1114" s="48" t="s">
        <v>1905</v>
      </c>
      <c r="F1114" s="44" t="s">
        <v>109</v>
      </c>
      <c r="G1114" s="44"/>
      <c r="H1114" s="44" t="s">
        <v>230</v>
      </c>
      <c r="I1114" s="44" t="s">
        <v>230</v>
      </c>
      <c r="J1114" s="44">
        <v>1</v>
      </c>
      <c r="K1114" s="44"/>
      <c r="L1114" s="70" t="s">
        <v>1903</v>
      </c>
      <c r="M1114" s="47"/>
      <c r="N1114" s="67" t="s">
        <v>1719</v>
      </c>
    </row>
    <row r="1115" s="34" customFormat="1" ht="18.75" spans="2:14">
      <c r="B1115" s="44">
        <f t="shared" si="22"/>
        <v>60564</v>
      </c>
      <c r="C1115" s="44">
        <v>1</v>
      </c>
      <c r="D1115" s="44" t="s">
        <v>1906</v>
      </c>
      <c r="E1115" s="48" t="s">
        <v>1907</v>
      </c>
      <c r="F1115" s="44" t="s">
        <v>109</v>
      </c>
      <c r="G1115" s="44"/>
      <c r="H1115" s="44" t="s">
        <v>230</v>
      </c>
      <c r="I1115" s="44" t="s">
        <v>230</v>
      </c>
      <c r="J1115" s="44">
        <v>1</v>
      </c>
      <c r="K1115" s="44"/>
      <c r="L1115" s="70" t="s">
        <v>1908</v>
      </c>
      <c r="M1115" s="47"/>
      <c r="N1115" s="67" t="s">
        <v>1719</v>
      </c>
    </row>
    <row r="1116" s="34" customFormat="1" ht="18.75" spans="2:14">
      <c r="B1116" s="44">
        <f t="shared" si="22"/>
        <v>60565</v>
      </c>
      <c r="C1116" s="44">
        <v>1</v>
      </c>
      <c r="D1116" s="44" t="s">
        <v>1909</v>
      </c>
      <c r="E1116" s="48" t="s">
        <v>1910</v>
      </c>
      <c r="F1116" s="44" t="s">
        <v>109</v>
      </c>
      <c r="G1116" s="44"/>
      <c r="H1116" s="44" t="s">
        <v>230</v>
      </c>
      <c r="I1116" s="44" t="s">
        <v>230</v>
      </c>
      <c r="J1116" s="44">
        <v>1</v>
      </c>
      <c r="K1116" s="44"/>
      <c r="L1116" s="70" t="s">
        <v>1908</v>
      </c>
      <c r="M1116" s="47"/>
      <c r="N1116" s="67" t="s">
        <v>1719</v>
      </c>
    </row>
    <row r="1117" ht="18.75" spans="2:14">
      <c r="B1117" s="28">
        <f t="shared" si="22"/>
        <v>60566</v>
      </c>
      <c r="C1117" s="28">
        <v>1</v>
      </c>
      <c r="D1117" s="28" t="s">
        <v>250</v>
      </c>
      <c r="E1117" s="41" t="s">
        <v>251</v>
      </c>
      <c r="F1117" s="28" t="s">
        <v>109</v>
      </c>
      <c r="G1117" s="28"/>
      <c r="H1117" s="28" t="s">
        <v>230</v>
      </c>
      <c r="I1117" s="28" t="s">
        <v>230</v>
      </c>
      <c r="J1117" s="28">
        <v>1</v>
      </c>
      <c r="K1117" s="28"/>
      <c r="L1117" s="45" t="s">
        <v>1911</v>
      </c>
      <c r="M1117" s="46"/>
    </row>
    <row r="1118" ht="18.75" spans="2:14">
      <c r="B1118" s="28">
        <f t="shared" si="22"/>
        <v>60567</v>
      </c>
      <c r="C1118" s="28">
        <v>1</v>
      </c>
      <c r="D1118" s="28" t="s">
        <v>1912</v>
      </c>
      <c r="E1118" s="41" t="s">
        <v>1913</v>
      </c>
      <c r="F1118" s="28" t="s">
        <v>109</v>
      </c>
      <c r="G1118" s="28"/>
      <c r="H1118" s="28" t="s">
        <v>230</v>
      </c>
      <c r="I1118" s="28" t="s">
        <v>230</v>
      </c>
      <c r="J1118" s="28">
        <v>1</v>
      </c>
      <c r="K1118" s="28"/>
      <c r="L1118" s="45"/>
      <c r="M1118" s="46"/>
    </row>
    <row r="1119" s="34" customFormat="1" ht="18.75" spans="2:14">
      <c r="B1119" s="44">
        <f t="shared" si="22"/>
        <v>60568</v>
      </c>
      <c r="C1119" s="44">
        <v>1</v>
      </c>
      <c r="D1119" s="44" t="s">
        <v>1914</v>
      </c>
      <c r="E1119" s="48" t="s">
        <v>1915</v>
      </c>
      <c r="F1119" s="44" t="s">
        <v>109</v>
      </c>
      <c r="G1119" s="44"/>
      <c r="H1119" s="44" t="s">
        <v>230</v>
      </c>
      <c r="I1119" s="44" t="s">
        <v>230</v>
      </c>
      <c r="J1119" s="44">
        <v>1</v>
      </c>
      <c r="K1119" s="44"/>
      <c r="L1119" s="70"/>
      <c r="M1119" s="47"/>
      <c r="N1119" s="67" t="s">
        <v>1719</v>
      </c>
    </row>
    <row r="1120" s="34" customFormat="1" ht="18.75" spans="2:14">
      <c r="B1120" s="44">
        <f t="shared" si="22"/>
        <v>60569</v>
      </c>
      <c r="C1120" s="44">
        <v>1</v>
      </c>
      <c r="D1120" s="44" t="s">
        <v>1916</v>
      </c>
      <c r="E1120" s="48" t="s">
        <v>1917</v>
      </c>
      <c r="F1120" s="44" t="s">
        <v>109</v>
      </c>
      <c r="G1120" s="44"/>
      <c r="H1120" s="44" t="s">
        <v>230</v>
      </c>
      <c r="I1120" s="44" t="s">
        <v>230</v>
      </c>
      <c r="J1120" s="44">
        <v>1</v>
      </c>
      <c r="K1120" s="44"/>
      <c r="L1120" s="70" t="s">
        <v>1874</v>
      </c>
      <c r="M1120" s="47"/>
      <c r="N1120" s="67" t="s">
        <v>1719</v>
      </c>
    </row>
    <row r="1121" s="34" customFormat="1" ht="18.75" spans="2:14">
      <c r="B1121" s="44">
        <f t="shared" si="22"/>
        <v>60570</v>
      </c>
      <c r="C1121" s="44">
        <v>1</v>
      </c>
      <c r="D1121" s="44" t="s">
        <v>1918</v>
      </c>
      <c r="E1121" s="48" t="s">
        <v>1919</v>
      </c>
      <c r="F1121" s="44" t="s">
        <v>109</v>
      </c>
      <c r="G1121" s="44"/>
      <c r="H1121" s="44" t="s">
        <v>230</v>
      </c>
      <c r="I1121" s="44" t="s">
        <v>230</v>
      </c>
      <c r="J1121" s="44">
        <v>1</v>
      </c>
      <c r="K1121" s="44"/>
      <c r="L1121" s="70" t="s">
        <v>1874</v>
      </c>
      <c r="M1121" s="47"/>
      <c r="N1121" s="67" t="s">
        <v>1719</v>
      </c>
    </row>
    <row r="1122" s="34" customFormat="1" ht="18.75" spans="2:14">
      <c r="B1122" s="44">
        <f t="shared" si="22"/>
        <v>60571</v>
      </c>
      <c r="C1122" s="44">
        <v>1</v>
      </c>
      <c r="D1122" s="44" t="s">
        <v>1920</v>
      </c>
      <c r="E1122" s="48" t="s">
        <v>1921</v>
      </c>
      <c r="F1122" s="44" t="s">
        <v>109</v>
      </c>
      <c r="G1122" s="44"/>
      <c r="H1122" s="44" t="s">
        <v>230</v>
      </c>
      <c r="I1122" s="44" t="s">
        <v>230</v>
      </c>
      <c r="J1122" s="44">
        <v>1</v>
      </c>
      <c r="K1122" s="44"/>
      <c r="L1122" s="70" t="s">
        <v>245</v>
      </c>
      <c r="M1122" s="47"/>
      <c r="N1122" s="67" t="s">
        <v>1719</v>
      </c>
    </row>
    <row r="1123" s="34" customFormat="1" ht="37.5" spans="2:14">
      <c r="B1123" s="44">
        <f t="shared" si="22"/>
        <v>60572</v>
      </c>
      <c r="C1123" s="44">
        <v>1</v>
      </c>
      <c r="D1123" s="44" t="s">
        <v>1922</v>
      </c>
      <c r="E1123" s="48" t="s">
        <v>1923</v>
      </c>
      <c r="F1123" s="44" t="s">
        <v>109</v>
      </c>
      <c r="G1123" s="44"/>
      <c r="H1123" s="44" t="s">
        <v>230</v>
      </c>
      <c r="I1123" s="44" t="s">
        <v>230</v>
      </c>
      <c r="J1123" s="44">
        <v>1</v>
      </c>
      <c r="K1123" s="44"/>
      <c r="L1123" s="70" t="s">
        <v>245</v>
      </c>
      <c r="M1123" s="47"/>
      <c r="N1123" s="67" t="s">
        <v>1719</v>
      </c>
    </row>
    <row r="1124" s="34" customFormat="1" ht="37.5" spans="2:14">
      <c r="B1124" s="44">
        <f t="shared" si="22"/>
        <v>60573</v>
      </c>
      <c r="C1124" s="44">
        <v>1</v>
      </c>
      <c r="D1124" s="44" t="s">
        <v>1924</v>
      </c>
      <c r="E1124" s="48" t="s">
        <v>1925</v>
      </c>
      <c r="F1124" s="44" t="s">
        <v>109</v>
      </c>
      <c r="G1124" s="44"/>
      <c r="H1124" s="44" t="s">
        <v>230</v>
      </c>
      <c r="I1124" s="44" t="s">
        <v>230</v>
      </c>
      <c r="J1124" s="44">
        <v>1</v>
      </c>
      <c r="K1124" s="44"/>
      <c r="L1124" s="70" t="s">
        <v>245</v>
      </c>
      <c r="M1124" s="47"/>
      <c r="N1124" s="67" t="s">
        <v>1719</v>
      </c>
    </row>
    <row r="1125" s="34" customFormat="1" ht="18.75" spans="2:14">
      <c r="B1125" s="44">
        <f t="shared" si="22"/>
        <v>60574</v>
      </c>
      <c r="C1125" s="44">
        <v>1</v>
      </c>
      <c r="D1125" s="44" t="s">
        <v>1926</v>
      </c>
      <c r="E1125" s="48" t="s">
        <v>1927</v>
      </c>
      <c r="F1125" s="44" t="s">
        <v>109</v>
      </c>
      <c r="G1125" s="44"/>
      <c r="H1125" s="44" t="s">
        <v>230</v>
      </c>
      <c r="I1125" s="44" t="s">
        <v>230</v>
      </c>
      <c r="J1125" s="44">
        <v>1</v>
      </c>
      <c r="K1125" s="44"/>
      <c r="L1125" s="70" t="s">
        <v>245</v>
      </c>
      <c r="M1125" s="47"/>
      <c r="N1125" s="67" t="s">
        <v>1719</v>
      </c>
    </row>
    <row r="1126" s="34" customFormat="1" ht="18.75" spans="2:14">
      <c r="B1126" s="44">
        <f t="shared" si="22"/>
        <v>60575</v>
      </c>
      <c r="C1126" s="44">
        <v>1</v>
      </c>
      <c r="D1126" s="44" t="s">
        <v>1928</v>
      </c>
      <c r="E1126" s="48" t="s">
        <v>1929</v>
      </c>
      <c r="F1126" s="44" t="s">
        <v>109</v>
      </c>
      <c r="G1126" s="44"/>
      <c r="H1126" s="44" t="s">
        <v>230</v>
      </c>
      <c r="I1126" s="44" t="s">
        <v>230</v>
      </c>
      <c r="J1126" s="44">
        <v>1</v>
      </c>
      <c r="K1126" s="44"/>
      <c r="L1126" s="70" t="s">
        <v>245</v>
      </c>
      <c r="M1126" s="47"/>
      <c r="N1126" s="67" t="s">
        <v>1719</v>
      </c>
    </row>
    <row r="1127" s="34" customFormat="1" ht="18.75" spans="2:14">
      <c r="B1127" s="44">
        <f t="shared" si="22"/>
        <v>60576</v>
      </c>
      <c r="C1127" s="44">
        <v>1</v>
      </c>
      <c r="D1127" s="44" t="s">
        <v>1930</v>
      </c>
      <c r="E1127" s="48" t="s">
        <v>1931</v>
      </c>
      <c r="F1127" s="44" t="s">
        <v>109</v>
      </c>
      <c r="G1127" s="44"/>
      <c r="H1127" s="44" t="s">
        <v>230</v>
      </c>
      <c r="I1127" s="44" t="s">
        <v>230</v>
      </c>
      <c r="J1127" s="44">
        <v>1</v>
      </c>
      <c r="K1127" s="44"/>
      <c r="L1127" s="70" t="s">
        <v>1874</v>
      </c>
      <c r="M1127" s="47"/>
      <c r="N1127" s="67" t="s">
        <v>1719</v>
      </c>
    </row>
    <row r="1128" s="34" customFormat="1" ht="18.75" spans="2:14">
      <c r="B1128" s="44">
        <f t="shared" si="22"/>
        <v>60577</v>
      </c>
      <c r="C1128" s="44">
        <v>1</v>
      </c>
      <c r="D1128" s="44" t="s">
        <v>1932</v>
      </c>
      <c r="E1128" s="48" t="s">
        <v>1933</v>
      </c>
      <c r="F1128" s="44" t="s">
        <v>109</v>
      </c>
      <c r="G1128" s="44"/>
      <c r="H1128" s="44" t="s">
        <v>230</v>
      </c>
      <c r="I1128" s="44" t="s">
        <v>230</v>
      </c>
      <c r="J1128" s="44">
        <v>1</v>
      </c>
      <c r="K1128" s="44"/>
      <c r="L1128" s="70" t="s">
        <v>1874</v>
      </c>
      <c r="M1128" s="47"/>
      <c r="N1128" s="67" t="s">
        <v>1719</v>
      </c>
    </row>
    <row r="1129" s="34" customFormat="1" ht="18.75" spans="2:14">
      <c r="B1129" s="44">
        <f t="shared" si="22"/>
        <v>60578</v>
      </c>
      <c r="C1129" s="44">
        <v>1</v>
      </c>
      <c r="D1129" s="44" t="s">
        <v>1934</v>
      </c>
      <c r="E1129" s="48" t="s">
        <v>1935</v>
      </c>
      <c r="F1129" s="44" t="s">
        <v>109</v>
      </c>
      <c r="G1129" s="44"/>
      <c r="H1129" s="44" t="s">
        <v>230</v>
      </c>
      <c r="I1129" s="44" t="s">
        <v>230</v>
      </c>
      <c r="J1129" s="44">
        <v>1</v>
      </c>
      <c r="K1129" s="44"/>
      <c r="L1129" s="70" t="s">
        <v>245</v>
      </c>
      <c r="M1129" s="47"/>
      <c r="N1129" s="67" t="s">
        <v>1719</v>
      </c>
    </row>
    <row r="1130" s="34" customFormat="1" ht="18.75" spans="2:14">
      <c r="B1130" s="44">
        <f t="shared" si="22"/>
        <v>60579</v>
      </c>
      <c r="C1130" s="44">
        <v>1</v>
      </c>
      <c r="D1130" s="44" t="s">
        <v>1936</v>
      </c>
      <c r="E1130" s="48" t="s">
        <v>1937</v>
      </c>
      <c r="F1130" s="44" t="s">
        <v>109</v>
      </c>
      <c r="G1130" s="44"/>
      <c r="H1130" s="44" t="s">
        <v>230</v>
      </c>
      <c r="I1130" s="44" t="s">
        <v>230</v>
      </c>
      <c r="J1130" s="44">
        <v>1</v>
      </c>
      <c r="K1130" s="44"/>
      <c r="L1130" s="70" t="s">
        <v>245</v>
      </c>
      <c r="M1130" s="47"/>
      <c r="N1130" s="67" t="s">
        <v>1719</v>
      </c>
    </row>
    <row r="1131" s="34" customFormat="1" ht="18.75" spans="2:14">
      <c r="B1131" s="44">
        <f t="shared" si="22"/>
        <v>60580</v>
      </c>
      <c r="C1131" s="44">
        <v>1</v>
      </c>
      <c r="D1131" s="44" t="s">
        <v>1938</v>
      </c>
      <c r="E1131" s="48" t="s">
        <v>1939</v>
      </c>
      <c r="F1131" s="44" t="s">
        <v>109</v>
      </c>
      <c r="G1131" s="44"/>
      <c r="H1131" s="44" t="s">
        <v>230</v>
      </c>
      <c r="I1131" s="44" t="s">
        <v>230</v>
      </c>
      <c r="J1131" s="44">
        <v>1</v>
      </c>
      <c r="K1131" s="44"/>
      <c r="L1131" s="70" t="s">
        <v>1940</v>
      </c>
      <c r="M1131" s="47"/>
      <c r="N1131" s="67" t="s">
        <v>1719</v>
      </c>
    </row>
    <row r="1132" ht="18.75" spans="2:14">
      <c r="B1132" s="28">
        <f t="shared" si="22"/>
        <v>60581</v>
      </c>
      <c r="C1132" s="28">
        <v>1</v>
      </c>
      <c r="D1132" s="28" t="s">
        <v>1941</v>
      </c>
      <c r="E1132" s="41" t="s">
        <v>724</v>
      </c>
      <c r="F1132" s="28" t="s">
        <v>109</v>
      </c>
      <c r="G1132" s="28"/>
      <c r="H1132" s="28" t="s">
        <v>230</v>
      </c>
      <c r="I1132" s="28" t="s">
        <v>230</v>
      </c>
      <c r="J1132" s="28">
        <v>1</v>
      </c>
      <c r="K1132" s="28"/>
      <c r="L1132" s="45"/>
      <c r="M1132" s="46"/>
    </row>
    <row r="1133" ht="18.75" spans="2:14">
      <c r="B1133" s="28">
        <f t="shared" si="22"/>
        <v>60582</v>
      </c>
      <c r="C1133" s="28">
        <v>1</v>
      </c>
      <c r="D1133" s="28" t="s">
        <v>1942</v>
      </c>
      <c r="E1133" s="41" t="s">
        <v>726</v>
      </c>
      <c r="F1133" s="28" t="s">
        <v>109</v>
      </c>
      <c r="G1133" s="28"/>
      <c r="H1133" s="28" t="s">
        <v>230</v>
      </c>
      <c r="I1133" s="28" t="s">
        <v>230</v>
      </c>
      <c r="J1133" s="28">
        <v>1</v>
      </c>
      <c r="K1133" s="28"/>
      <c r="L1133" s="45"/>
      <c r="M1133" s="46"/>
    </row>
    <row r="1134" ht="37.5" spans="2:14">
      <c r="B1134" s="28">
        <f t="shared" si="22"/>
        <v>60583</v>
      </c>
      <c r="C1134" s="28">
        <v>1</v>
      </c>
      <c r="D1134" s="28" t="s">
        <v>1943</v>
      </c>
      <c r="E1134" s="41" t="s">
        <v>1944</v>
      </c>
      <c r="F1134" s="28" t="s">
        <v>109</v>
      </c>
      <c r="G1134" s="28"/>
      <c r="H1134" s="28" t="s">
        <v>230</v>
      </c>
      <c r="I1134" s="28" t="s">
        <v>230</v>
      </c>
      <c r="J1134" s="28">
        <v>1</v>
      </c>
      <c r="K1134" s="28"/>
      <c r="L1134" s="45" t="s">
        <v>867</v>
      </c>
      <c r="M1134" s="46"/>
    </row>
    <row r="1135" ht="18.75" spans="2:14">
      <c r="B1135" s="28">
        <f t="shared" si="22"/>
        <v>60584</v>
      </c>
      <c r="C1135" s="28">
        <v>1</v>
      </c>
      <c r="D1135" s="28" t="s">
        <v>1945</v>
      </c>
      <c r="E1135" s="41" t="s">
        <v>435</v>
      </c>
      <c r="F1135" s="28" t="s">
        <v>109</v>
      </c>
      <c r="G1135" s="28"/>
      <c r="H1135" s="28" t="s">
        <v>230</v>
      </c>
      <c r="I1135" s="28" t="s">
        <v>230</v>
      </c>
      <c r="J1135" s="28">
        <v>1</v>
      </c>
      <c r="K1135" s="28"/>
      <c r="L1135" s="45" t="s">
        <v>1946</v>
      </c>
      <c r="M1135" s="46"/>
    </row>
    <row r="1136" ht="18.75" spans="2:14">
      <c r="B1136" s="28"/>
      <c r="C1136" s="28"/>
      <c r="D1136" s="28"/>
      <c r="E1136" s="28"/>
      <c r="F1136" s="28"/>
      <c r="G1136" s="28"/>
      <c r="H1136" s="28"/>
      <c r="I1136" s="28"/>
      <c r="J1136" s="28"/>
      <c r="K1136" s="28"/>
      <c r="L1136" s="45"/>
      <c r="M1136" s="46"/>
    </row>
    <row r="1137" ht="18.75" spans="2:13">
      <c r="B1137" s="28"/>
      <c r="C1137" s="28"/>
      <c r="D1137" s="28"/>
      <c r="E1137" s="41"/>
      <c r="F1137" s="28"/>
      <c r="G1137" s="28"/>
      <c r="H1137" s="28"/>
      <c r="I1137" s="28"/>
      <c r="J1137" s="28"/>
      <c r="K1137" s="28"/>
      <c r="L1137" s="28"/>
      <c r="M1137" s="46"/>
    </row>
    <row r="1138" ht="18.75" spans="2:13">
      <c r="B1138" s="28"/>
      <c r="C1138" s="28"/>
      <c r="D1138" s="28"/>
      <c r="E1138" s="41"/>
      <c r="F1138" s="28"/>
      <c r="G1138" s="28"/>
      <c r="H1138" s="28"/>
      <c r="I1138" s="28"/>
      <c r="J1138" s="28"/>
      <c r="K1138" s="28"/>
      <c r="L1138" s="28"/>
      <c r="M1138" s="46"/>
    </row>
    <row r="1139" ht="18.75" spans="2:13">
      <c r="B1139" s="28"/>
      <c r="C1139" s="28"/>
      <c r="D1139" s="28"/>
      <c r="E1139" s="28"/>
      <c r="F1139" s="28"/>
      <c r="G1139" s="28"/>
      <c r="H1139" s="28"/>
      <c r="I1139" s="28"/>
      <c r="J1139" s="28"/>
      <c r="K1139" s="28"/>
      <c r="L1139" s="45"/>
      <c r="M1139" s="46"/>
    </row>
    <row r="1272" spans="1:14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</row>
    <row r="1273" spans="1:14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</row>
    <row r="1274" spans="1:14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</row>
    <row r="1275" spans="1:14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</row>
    <row r="1276" spans="1:14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</row>
    <row r="1277" spans="1:14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</row>
    <row r="1278" spans="1:14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</row>
    <row r="1401" spans="8:9">
      <c r="H1401"/>
      <c r="I1401"/>
    </row>
    <row r="1402" spans="8:9">
      <c r="H1402"/>
      <c r="I1402"/>
    </row>
  </sheetData>
  <mergeCells count="24">
    <mergeCell ref="B1:L1"/>
    <mergeCell ref="B2:M2"/>
    <mergeCell ref="B4:L4"/>
    <mergeCell ref="B57:L57"/>
    <mergeCell ref="B65:L65"/>
    <mergeCell ref="B156:L156"/>
    <mergeCell ref="B288:L288"/>
    <mergeCell ref="B395:L395"/>
    <mergeCell ref="B501:L501"/>
    <mergeCell ref="B757:L757"/>
    <mergeCell ref="B842:L842"/>
    <mergeCell ref="B929:L929"/>
    <mergeCell ref="B1020:L1020"/>
    <mergeCell ref="B1094:L1094"/>
    <mergeCell ref="L279:L284"/>
    <mergeCell ref="L873:L875"/>
    <mergeCell ref="L876:L878"/>
    <mergeCell ref="L879:L881"/>
    <mergeCell ref="L882:L884"/>
    <mergeCell ref="L885:L887"/>
    <mergeCell ref="L888:L890"/>
    <mergeCell ref="L891:L893"/>
    <mergeCell ref="L894:L896"/>
    <mergeCell ref="M702:M709"/>
  </mergeCells>
  <dataValidations count="1">
    <dataValidation allowBlank="1" showErrorMessage="1" sqref="I3:K3 I4:J4 I65:J65 I156:J156 I288:J288 I395:J395 I757:J757 I929:J929 I1020:J1020 I1094:J1094 I1136:J1136 I1139:J1139 J5:J21 J33:J35 J46:J53 J396:J499 J755:J756 I1:J2 I841:J842 I22:J32 I36:J45 I54:J57 I500:J501" errorStyle="information"/>
  </dataValidations>
  <pageMargins left="0.751968503937008" right="0.751968503937008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L218"/>
  <sheetViews>
    <sheetView zoomScale="55" zoomScaleNormal="55" topLeftCell="B1" workbookViewId="0">
      <selection activeCell="P43" sqref="P43"/>
    </sheetView>
  </sheetViews>
  <sheetFormatPr defaultColWidth="9" defaultRowHeight="13.5"/>
  <cols>
    <col min="2" max="2" width="35.375" customWidth="1"/>
    <col min="3" max="3" width="17.2583333333333" customWidth="1"/>
    <col min="4" max="4" width="36.875" customWidth="1"/>
    <col min="5" max="5" width="77.125" customWidth="1"/>
    <col min="6" max="6" width="10.875" customWidth="1"/>
    <col min="7" max="7" width="5.875" customWidth="1"/>
    <col min="8" max="9" width="10.875" customWidth="1"/>
    <col min="11" max="11" width="30.625" customWidth="1"/>
  </cols>
  <sheetData>
    <row r="1" s="17" customFormat="1" ht="35.25" spans="2:12">
      <c r="B1" s="31" t="s">
        <v>1947</v>
      </c>
      <c r="C1" s="31"/>
      <c r="D1" s="31"/>
      <c r="E1" s="31"/>
      <c r="F1" s="31"/>
      <c r="G1" s="31"/>
      <c r="H1" s="31"/>
      <c r="I1" s="31"/>
      <c r="J1" s="31"/>
      <c r="K1" s="31"/>
      <c r="L1" s="31"/>
    </row>
    <row r="2" s="17" customFormat="1" ht="18.75" spans="2:12">
      <c r="B2" s="25" t="s">
        <v>94</v>
      </c>
      <c r="C2" s="25" t="s">
        <v>1948</v>
      </c>
      <c r="D2" s="25" t="s">
        <v>96</v>
      </c>
      <c r="E2" s="25" t="s">
        <v>97</v>
      </c>
      <c r="F2" s="25" t="s">
        <v>98</v>
      </c>
      <c r="G2" s="25" t="s">
        <v>99</v>
      </c>
      <c r="H2" s="25" t="s">
        <v>100</v>
      </c>
      <c r="I2" s="25" t="s">
        <v>102</v>
      </c>
      <c r="J2" s="25" t="s">
        <v>103</v>
      </c>
      <c r="K2" s="25" t="s">
        <v>104</v>
      </c>
      <c r="L2" s="28" t="s">
        <v>105</v>
      </c>
    </row>
    <row r="3" ht="18.75" spans="2:12">
      <c r="B3" s="28"/>
      <c r="C3" s="28"/>
      <c r="D3" s="27"/>
      <c r="E3" s="27"/>
      <c r="F3" s="28"/>
      <c r="G3" s="28"/>
      <c r="H3" s="28"/>
      <c r="I3" s="28"/>
      <c r="J3" s="28"/>
      <c r="K3" s="27"/>
      <c r="L3" s="32"/>
    </row>
    <row r="4" ht="18.75" spans="2:12">
      <c r="B4" s="28"/>
      <c r="C4" s="28"/>
      <c r="D4" s="27"/>
      <c r="E4" s="27"/>
      <c r="F4" s="28"/>
      <c r="G4" s="28"/>
      <c r="H4" s="28"/>
      <c r="I4" s="28"/>
      <c r="J4" s="28"/>
      <c r="K4" s="27"/>
      <c r="L4" s="32"/>
    </row>
    <row r="5" ht="18.75" spans="2:12">
      <c r="B5" s="28"/>
      <c r="C5" s="28"/>
      <c r="D5" s="27"/>
      <c r="E5" s="27"/>
      <c r="F5" s="28"/>
      <c r="G5" s="28"/>
      <c r="H5" s="28"/>
      <c r="I5" s="28"/>
      <c r="J5" s="28"/>
      <c r="K5" s="27"/>
      <c r="L5" s="32"/>
    </row>
    <row r="6" ht="18.75" spans="2:12">
      <c r="B6" s="28"/>
      <c r="C6" s="28"/>
      <c r="D6" s="27"/>
      <c r="E6" s="27"/>
      <c r="F6" s="28"/>
      <c r="G6" s="28"/>
      <c r="H6" s="28"/>
      <c r="I6" s="28"/>
      <c r="J6" s="28"/>
      <c r="K6" s="27"/>
      <c r="L6" s="32"/>
    </row>
    <row r="7" ht="18.75" spans="2:12">
      <c r="B7" s="28"/>
      <c r="C7" s="28"/>
      <c r="D7" s="27"/>
      <c r="E7" s="27"/>
      <c r="F7" s="28"/>
      <c r="G7" s="28"/>
      <c r="H7" s="28"/>
      <c r="I7" s="28"/>
      <c r="J7" s="28"/>
      <c r="K7" s="27"/>
      <c r="L7" s="32"/>
    </row>
    <row r="8" ht="18.75" spans="2:12">
      <c r="B8" s="28"/>
      <c r="C8" s="28"/>
      <c r="D8" s="27"/>
      <c r="E8" s="27"/>
      <c r="F8" s="28"/>
      <c r="G8" s="28"/>
      <c r="H8" s="28"/>
      <c r="I8" s="28"/>
      <c r="J8" s="28"/>
      <c r="K8" s="27"/>
      <c r="L8" s="32"/>
    </row>
    <row r="9" ht="18.75" spans="2:12">
      <c r="B9" s="28"/>
      <c r="C9" s="28"/>
      <c r="D9" s="27"/>
      <c r="E9" s="27"/>
      <c r="F9" s="28"/>
      <c r="G9" s="28"/>
      <c r="H9" s="28"/>
      <c r="I9" s="28"/>
      <c r="J9" s="28"/>
      <c r="K9" s="27"/>
      <c r="L9" s="32"/>
    </row>
    <row r="10" ht="18.75" spans="2:12">
      <c r="B10" s="28"/>
      <c r="C10" s="28"/>
      <c r="D10" s="27"/>
      <c r="E10" s="27"/>
      <c r="F10" s="28"/>
      <c r="G10" s="28"/>
      <c r="H10" s="28"/>
      <c r="I10" s="28"/>
      <c r="J10" s="28"/>
      <c r="K10" s="27"/>
      <c r="L10" s="32"/>
    </row>
    <row r="11" ht="18.75" spans="2:12">
      <c r="B11" s="28"/>
      <c r="C11" s="28"/>
      <c r="D11" s="27"/>
      <c r="E11" s="27"/>
      <c r="F11" s="28"/>
      <c r="G11" s="28"/>
      <c r="H11" s="28"/>
      <c r="I11" s="28"/>
      <c r="J11" s="28"/>
      <c r="K11" s="27"/>
      <c r="L11" s="32"/>
    </row>
    <row r="12" ht="18.75" spans="2:12">
      <c r="B12" s="28"/>
      <c r="C12" s="28"/>
      <c r="D12" s="27"/>
      <c r="E12" s="27"/>
      <c r="F12" s="28"/>
      <c r="G12" s="28"/>
      <c r="H12" s="28"/>
      <c r="I12" s="28"/>
      <c r="J12" s="28"/>
      <c r="K12" s="27"/>
      <c r="L12" s="32"/>
    </row>
    <row r="13" ht="18.75" spans="2:12">
      <c r="B13" s="28"/>
      <c r="C13" s="28"/>
      <c r="D13" s="27"/>
      <c r="E13" s="27"/>
      <c r="F13" s="28"/>
      <c r="G13" s="28"/>
      <c r="H13" s="28"/>
      <c r="I13" s="28"/>
      <c r="J13" s="28"/>
      <c r="K13" s="27"/>
      <c r="L13" s="32"/>
    </row>
    <row r="14" ht="18.75" spans="2:12">
      <c r="B14" s="28"/>
      <c r="C14" s="28"/>
      <c r="D14" s="27"/>
      <c r="E14" s="27"/>
      <c r="F14" s="28"/>
      <c r="G14" s="28"/>
      <c r="H14" s="28"/>
      <c r="I14" s="28"/>
      <c r="J14" s="28"/>
      <c r="K14" s="27"/>
      <c r="L14" s="32"/>
    </row>
    <row r="15" ht="18.75" spans="2:12">
      <c r="B15" s="28"/>
      <c r="C15" s="28"/>
      <c r="D15" s="27"/>
      <c r="E15" s="27"/>
      <c r="F15" s="28"/>
      <c r="G15" s="28"/>
      <c r="H15" s="28"/>
      <c r="I15" s="28"/>
      <c r="J15" s="28"/>
      <c r="K15" s="27"/>
      <c r="L15" s="32"/>
    </row>
    <row r="16" ht="18.75" spans="2:12">
      <c r="B16" s="28"/>
      <c r="C16" s="28"/>
      <c r="D16" s="27"/>
      <c r="E16" s="27"/>
      <c r="F16" s="28"/>
      <c r="G16" s="28"/>
      <c r="H16" s="28"/>
      <c r="I16" s="28"/>
      <c r="J16" s="28"/>
      <c r="K16" s="27"/>
      <c r="L16" s="32"/>
    </row>
    <row r="17" ht="18.75" spans="2:12">
      <c r="B17" s="28"/>
      <c r="C17" s="28"/>
      <c r="D17" s="27"/>
      <c r="E17" s="27"/>
      <c r="F17" s="28"/>
      <c r="G17" s="28"/>
      <c r="H17" s="28"/>
      <c r="I17" s="28"/>
      <c r="J17" s="28"/>
      <c r="K17" s="27"/>
      <c r="L17" s="32"/>
    </row>
    <row r="18" ht="18.75" spans="2:12">
      <c r="B18" s="28"/>
      <c r="C18" s="28"/>
      <c r="D18" s="27"/>
      <c r="E18" s="27"/>
      <c r="F18" s="28"/>
      <c r="G18" s="28"/>
      <c r="H18" s="28"/>
      <c r="I18" s="28"/>
      <c r="J18" s="28"/>
      <c r="K18" s="27"/>
      <c r="L18" s="32"/>
    </row>
    <row r="19" ht="18.75" spans="2:12">
      <c r="B19" s="28"/>
      <c r="C19" s="28"/>
      <c r="D19" s="27"/>
      <c r="E19" s="27"/>
      <c r="F19" s="28"/>
      <c r="G19" s="28"/>
      <c r="H19" s="28"/>
      <c r="I19" s="28"/>
      <c r="J19" s="28"/>
      <c r="K19" s="27"/>
      <c r="L19" s="32"/>
    </row>
    <row r="20" ht="18.75" spans="2:12">
      <c r="B20" s="28"/>
      <c r="C20" s="28"/>
      <c r="D20" s="27"/>
      <c r="E20" s="27"/>
      <c r="F20" s="28"/>
      <c r="G20" s="28"/>
      <c r="H20" s="28"/>
      <c r="I20" s="28"/>
      <c r="J20" s="28"/>
      <c r="K20" s="27"/>
      <c r="L20" s="32"/>
    </row>
    <row r="21" ht="18.75" spans="2:12">
      <c r="B21" s="28"/>
      <c r="C21" s="28"/>
      <c r="D21" s="27"/>
      <c r="E21" s="27"/>
      <c r="F21" s="28"/>
      <c r="G21" s="28"/>
      <c r="H21" s="28"/>
      <c r="I21" s="28"/>
      <c r="J21" s="28"/>
      <c r="K21" s="27"/>
      <c r="L21" s="32"/>
    </row>
    <row r="22" ht="18.75" spans="2:12">
      <c r="B22" s="28"/>
      <c r="C22" s="28"/>
      <c r="D22" s="27"/>
      <c r="E22" s="27"/>
      <c r="F22" s="28"/>
      <c r="G22" s="28"/>
      <c r="H22" s="28"/>
      <c r="I22" s="28"/>
      <c r="J22" s="28"/>
      <c r="K22" s="27"/>
      <c r="L22" s="32"/>
    </row>
    <row r="23" ht="18.75" spans="2:12">
      <c r="B23" s="28"/>
      <c r="C23" s="28"/>
      <c r="D23" s="27"/>
      <c r="E23" s="27"/>
      <c r="F23" s="28"/>
      <c r="G23" s="28"/>
      <c r="H23" s="28"/>
      <c r="I23" s="28"/>
      <c r="J23" s="28"/>
      <c r="K23" s="27"/>
      <c r="L23" s="32"/>
    </row>
    <row r="24" ht="18.75" spans="2:12">
      <c r="B24" s="28"/>
      <c r="C24" s="28"/>
      <c r="D24" s="27"/>
      <c r="E24" s="27"/>
      <c r="F24" s="28"/>
      <c r="G24" s="28"/>
      <c r="H24" s="28"/>
      <c r="I24" s="28"/>
      <c r="J24" s="28"/>
      <c r="K24" s="27"/>
      <c r="L24" s="32"/>
    </row>
    <row r="25" ht="18.75" spans="2:12">
      <c r="B25" s="28"/>
      <c r="C25" s="28"/>
      <c r="D25" s="27"/>
      <c r="E25" s="27"/>
      <c r="F25" s="28"/>
      <c r="G25" s="28"/>
      <c r="H25" s="28"/>
      <c r="I25" s="28"/>
      <c r="J25" s="28"/>
      <c r="K25" s="27"/>
      <c r="L25" s="32"/>
    </row>
    <row r="26" ht="18.75" spans="2:12">
      <c r="B26" s="28"/>
      <c r="C26" s="28"/>
      <c r="D26" s="27"/>
      <c r="E26" s="27"/>
      <c r="F26" s="28"/>
      <c r="G26" s="28"/>
      <c r="H26" s="28"/>
      <c r="I26" s="28"/>
      <c r="J26" s="28"/>
      <c r="K26" s="27"/>
      <c r="L26" s="32"/>
    </row>
    <row r="27" ht="18.75" spans="2:12">
      <c r="B27" s="28"/>
      <c r="C27" s="28"/>
      <c r="D27" s="27"/>
      <c r="E27" s="27"/>
      <c r="F27" s="28"/>
      <c r="G27" s="28"/>
      <c r="H27" s="28"/>
      <c r="I27" s="28"/>
      <c r="J27" s="28"/>
      <c r="K27" s="27"/>
      <c r="L27" s="32"/>
    </row>
    <row r="28" ht="18.75" spans="2:12">
      <c r="B28" s="28"/>
      <c r="C28" s="28"/>
      <c r="D28" s="27"/>
      <c r="E28" s="27"/>
      <c r="F28" s="28"/>
      <c r="G28" s="28"/>
      <c r="H28" s="28"/>
      <c r="I28" s="28"/>
      <c r="J28" s="28"/>
      <c r="K28" s="27"/>
      <c r="L28" s="32"/>
    </row>
    <row r="29" ht="18.75" spans="2:12">
      <c r="B29" s="28"/>
      <c r="C29" s="28"/>
      <c r="D29" s="27"/>
      <c r="E29" s="27"/>
      <c r="F29" s="28"/>
      <c r="G29" s="28"/>
      <c r="H29" s="28"/>
      <c r="I29" s="28"/>
      <c r="J29" s="28"/>
      <c r="K29" s="27"/>
      <c r="L29" s="32"/>
    </row>
    <row r="30" ht="18.75" spans="2:12">
      <c r="B30" s="28"/>
      <c r="C30" s="28"/>
      <c r="D30" s="27"/>
      <c r="E30" s="27"/>
      <c r="F30" s="28"/>
      <c r="G30" s="28"/>
      <c r="H30" s="28"/>
      <c r="I30" s="28"/>
      <c r="J30" s="28"/>
      <c r="K30" s="27"/>
      <c r="L30" s="32"/>
    </row>
    <row r="31" ht="18.75" spans="2:12">
      <c r="B31" s="28"/>
      <c r="C31" s="28"/>
      <c r="D31" s="27"/>
      <c r="E31" s="27"/>
      <c r="F31" s="28"/>
      <c r="G31" s="28"/>
      <c r="H31" s="28"/>
      <c r="I31" s="28"/>
      <c r="J31" s="28"/>
      <c r="K31" s="27"/>
      <c r="L31" s="32"/>
    </row>
    <row r="32" ht="18.75" spans="2:12">
      <c r="B32" s="28"/>
      <c r="C32" s="28"/>
      <c r="D32" s="27"/>
      <c r="E32" s="27"/>
      <c r="F32" s="28"/>
      <c r="G32" s="28"/>
      <c r="H32" s="28"/>
      <c r="I32" s="28"/>
      <c r="J32" s="28"/>
      <c r="K32" s="27"/>
      <c r="L32" s="32"/>
    </row>
    <row r="33" ht="18.75" spans="2:12">
      <c r="B33" s="28"/>
      <c r="C33" s="28"/>
      <c r="D33" s="27"/>
      <c r="E33" s="27"/>
      <c r="F33" s="28"/>
      <c r="G33" s="28"/>
      <c r="H33" s="28"/>
      <c r="I33" s="28"/>
      <c r="J33" s="28"/>
      <c r="K33" s="27"/>
      <c r="L33" s="32"/>
    </row>
    <row r="34" ht="18.75" spans="2:12">
      <c r="B34" s="28"/>
      <c r="C34" s="28"/>
      <c r="D34" s="27"/>
      <c r="E34" s="27"/>
      <c r="F34" s="28"/>
      <c r="G34" s="28"/>
      <c r="H34" s="28"/>
      <c r="I34" s="28"/>
      <c r="J34" s="28"/>
      <c r="K34" s="27"/>
      <c r="L34" s="32"/>
    </row>
    <row r="35" ht="18.75" spans="2:12">
      <c r="B35" s="28"/>
      <c r="C35" s="28"/>
      <c r="D35" s="27"/>
      <c r="E35" s="27"/>
      <c r="F35" s="28"/>
      <c r="G35" s="28"/>
      <c r="H35" s="28"/>
      <c r="I35" s="28"/>
      <c r="J35" s="28"/>
      <c r="K35" s="27"/>
      <c r="L35" s="32"/>
    </row>
    <row r="36" ht="18.75" spans="2:12">
      <c r="B36" s="28"/>
      <c r="C36" s="28"/>
      <c r="D36" s="27"/>
      <c r="E36" s="27"/>
      <c r="F36" s="28"/>
      <c r="G36" s="28"/>
      <c r="H36" s="28"/>
      <c r="I36" s="28"/>
      <c r="J36" s="28"/>
      <c r="K36" s="27"/>
      <c r="L36" s="32"/>
    </row>
    <row r="37" ht="18.75" spans="2:12">
      <c r="B37" s="28"/>
      <c r="C37" s="28"/>
      <c r="D37" s="27"/>
      <c r="E37" s="27"/>
      <c r="F37" s="28"/>
      <c r="G37" s="28"/>
      <c r="H37" s="28"/>
      <c r="I37" s="28"/>
      <c r="J37" s="28"/>
      <c r="K37" s="27"/>
      <c r="L37" s="32"/>
    </row>
    <row r="38" ht="18.75" spans="2:12">
      <c r="B38" s="28"/>
      <c r="C38" s="28"/>
      <c r="D38" s="27"/>
      <c r="E38" s="27"/>
      <c r="F38" s="28"/>
      <c r="G38" s="28"/>
      <c r="H38" s="28"/>
      <c r="I38" s="28"/>
      <c r="J38" s="28"/>
      <c r="K38" s="27"/>
      <c r="L38" s="32"/>
    </row>
    <row r="39" ht="18.75" spans="2:12">
      <c r="B39" s="28"/>
      <c r="C39" s="28"/>
      <c r="D39" s="27"/>
      <c r="E39" s="27"/>
      <c r="F39" s="28"/>
      <c r="G39" s="28"/>
      <c r="H39" s="28"/>
      <c r="I39" s="28"/>
      <c r="J39" s="28"/>
      <c r="K39" s="27"/>
      <c r="L39" s="32"/>
    </row>
    <row r="40" ht="18.75" spans="2:12">
      <c r="B40" s="28"/>
      <c r="C40" s="28"/>
      <c r="D40" s="27"/>
      <c r="E40" s="27"/>
      <c r="F40" s="28"/>
      <c r="G40" s="28"/>
      <c r="H40" s="28"/>
      <c r="I40" s="28"/>
      <c r="J40" s="28"/>
      <c r="K40" s="27"/>
      <c r="L40" s="32"/>
    </row>
    <row r="41" ht="18.75" spans="2:12">
      <c r="B41" s="28"/>
      <c r="C41" s="28"/>
      <c r="D41" s="27"/>
      <c r="E41" s="27"/>
      <c r="F41" s="28"/>
      <c r="G41" s="28"/>
      <c r="H41" s="28"/>
      <c r="I41" s="28"/>
      <c r="J41" s="28"/>
      <c r="K41" s="27"/>
      <c r="L41" s="32"/>
    </row>
    <row r="42" ht="18.75" spans="2:12">
      <c r="B42" s="28"/>
      <c r="C42" s="28"/>
      <c r="D42" s="27"/>
      <c r="E42" s="27"/>
      <c r="F42" s="28"/>
      <c r="G42" s="28"/>
      <c r="H42" s="28"/>
      <c r="I42" s="28"/>
      <c r="J42" s="28"/>
      <c r="K42" s="27"/>
      <c r="L42" s="32"/>
    </row>
    <row r="43" ht="18.75" spans="2:12">
      <c r="B43" s="28"/>
      <c r="C43" s="28"/>
      <c r="D43" s="27"/>
      <c r="E43" s="27"/>
      <c r="F43" s="28"/>
      <c r="G43" s="28"/>
      <c r="H43" s="28"/>
      <c r="I43" s="28"/>
      <c r="J43" s="28"/>
      <c r="K43" s="27"/>
      <c r="L43" s="32"/>
    </row>
    <row r="44" ht="18.75" spans="2:12">
      <c r="B44" s="28"/>
      <c r="C44" s="28"/>
      <c r="D44" s="27"/>
      <c r="E44" s="27"/>
      <c r="F44" s="28"/>
      <c r="G44" s="28"/>
      <c r="H44" s="28"/>
      <c r="I44" s="28"/>
      <c r="J44" s="28"/>
      <c r="K44" s="27"/>
      <c r="L44" s="32"/>
    </row>
    <row r="45" ht="18.75" spans="2:12">
      <c r="B45" s="28"/>
      <c r="C45" s="28"/>
      <c r="D45" s="27"/>
      <c r="E45" s="27"/>
      <c r="F45" s="28"/>
      <c r="G45" s="28"/>
      <c r="H45" s="28"/>
      <c r="I45" s="28"/>
      <c r="J45" s="28"/>
      <c r="K45" s="27"/>
      <c r="L45" s="32"/>
    </row>
    <row r="46" ht="18.75" spans="2:12">
      <c r="B46" s="28"/>
      <c r="C46" s="28"/>
      <c r="D46" s="27"/>
      <c r="E46" s="27"/>
      <c r="F46" s="28"/>
      <c r="G46" s="28"/>
      <c r="H46" s="28"/>
      <c r="I46" s="28"/>
      <c r="J46" s="28"/>
      <c r="K46" s="27"/>
      <c r="L46" s="32"/>
    </row>
    <row r="47" ht="18.75" spans="2:12">
      <c r="B47" s="28"/>
      <c r="C47" s="28"/>
      <c r="D47" s="27"/>
      <c r="E47" s="27"/>
      <c r="F47" s="28"/>
      <c r="G47" s="28"/>
      <c r="H47" s="28"/>
      <c r="I47" s="28"/>
      <c r="J47" s="28"/>
      <c r="K47" s="27"/>
      <c r="L47" s="32"/>
    </row>
    <row r="48" ht="18.75" spans="2:12">
      <c r="B48" s="28"/>
      <c r="C48" s="28"/>
      <c r="D48" s="27"/>
      <c r="E48" s="27"/>
      <c r="F48" s="28"/>
      <c r="G48" s="28"/>
      <c r="H48" s="28"/>
      <c r="I48" s="28"/>
      <c r="J48" s="28"/>
      <c r="K48" s="27"/>
      <c r="L48" s="32"/>
    </row>
    <row r="49" ht="18.75" spans="2:12">
      <c r="B49" s="28"/>
      <c r="C49" s="28"/>
      <c r="D49" s="27"/>
      <c r="E49" s="27"/>
      <c r="F49" s="28"/>
      <c r="G49" s="28"/>
      <c r="H49" s="28"/>
      <c r="I49" s="28"/>
      <c r="J49" s="28"/>
      <c r="K49" s="27"/>
      <c r="L49" s="32"/>
    </row>
    <row r="50" ht="18.75" spans="2:12">
      <c r="B50" s="28"/>
      <c r="C50" s="28"/>
      <c r="D50" s="27"/>
      <c r="E50" s="27"/>
      <c r="F50" s="28"/>
      <c r="G50" s="28"/>
      <c r="H50" s="28"/>
      <c r="I50" s="28"/>
      <c r="J50" s="28"/>
      <c r="K50" s="27"/>
      <c r="L50" s="32"/>
    </row>
    <row r="51" ht="18.75" spans="2:12">
      <c r="B51" s="28"/>
      <c r="C51" s="28"/>
      <c r="D51" s="27"/>
      <c r="E51" s="27"/>
      <c r="F51" s="28"/>
      <c r="G51" s="28"/>
      <c r="H51" s="28"/>
      <c r="I51" s="28"/>
      <c r="J51" s="28"/>
      <c r="K51" s="27"/>
      <c r="L51" s="32"/>
    </row>
    <row r="52" ht="18.75" spans="2:12">
      <c r="B52" s="28"/>
      <c r="C52" s="28"/>
      <c r="D52" s="27"/>
      <c r="E52" s="27"/>
      <c r="F52" s="28"/>
      <c r="G52" s="28"/>
      <c r="H52" s="28"/>
      <c r="I52" s="28"/>
      <c r="J52" s="28"/>
      <c r="K52" s="27"/>
      <c r="L52" s="32"/>
    </row>
    <row r="53" ht="18.75" spans="2:12">
      <c r="B53" s="28"/>
      <c r="C53" s="28"/>
      <c r="D53" s="27"/>
      <c r="E53" s="27"/>
      <c r="F53" s="28"/>
      <c r="G53" s="28"/>
      <c r="H53" s="28"/>
      <c r="I53" s="28"/>
      <c r="J53" s="28"/>
      <c r="K53" s="27"/>
      <c r="L53" s="32"/>
    </row>
    <row r="54" ht="18.75" spans="2:12">
      <c r="B54" s="28"/>
      <c r="C54" s="28"/>
      <c r="D54" s="27"/>
      <c r="E54" s="27"/>
      <c r="F54" s="28"/>
      <c r="G54" s="28"/>
      <c r="H54" s="28"/>
      <c r="I54" s="28"/>
      <c r="J54" s="28"/>
      <c r="K54" s="27"/>
      <c r="L54" s="32"/>
    </row>
    <row r="55" ht="18.75" spans="2:12">
      <c r="B55" s="28"/>
      <c r="C55" s="28"/>
      <c r="D55" s="27"/>
      <c r="E55" s="27"/>
      <c r="F55" s="28"/>
      <c r="G55" s="28"/>
      <c r="H55" s="28"/>
      <c r="I55" s="28"/>
      <c r="J55" s="28"/>
      <c r="K55" s="27"/>
      <c r="L55" s="32"/>
    </row>
    <row r="56" ht="18.75" spans="2:12">
      <c r="B56" s="28"/>
      <c r="C56" s="28"/>
      <c r="D56" s="27"/>
      <c r="E56" s="27"/>
      <c r="F56" s="28"/>
      <c r="G56" s="28"/>
      <c r="H56" s="28"/>
      <c r="I56" s="28"/>
      <c r="J56" s="28"/>
      <c r="K56" s="27"/>
      <c r="L56" s="32"/>
    </row>
    <row r="57" ht="18.75" spans="2:12">
      <c r="B57" s="28"/>
      <c r="C57" s="28"/>
      <c r="D57" s="27"/>
      <c r="E57" s="27"/>
      <c r="F57" s="28"/>
      <c r="G57" s="28"/>
      <c r="H57" s="28"/>
      <c r="I57" s="28"/>
      <c r="J57" s="28"/>
      <c r="K57" s="27"/>
      <c r="L57" s="32"/>
    </row>
    <row r="58" ht="18.75" spans="2:12">
      <c r="B58" s="28"/>
      <c r="C58" s="28"/>
      <c r="D58" s="27"/>
      <c r="E58" s="27"/>
      <c r="F58" s="28"/>
      <c r="G58" s="28"/>
      <c r="H58" s="28"/>
      <c r="I58" s="28"/>
      <c r="J58" s="28"/>
      <c r="K58" s="27"/>
      <c r="L58" s="32"/>
    </row>
    <row r="59" ht="18.75" spans="2:12">
      <c r="B59" s="28"/>
      <c r="C59" s="28"/>
      <c r="D59" s="27"/>
      <c r="E59" s="27"/>
      <c r="F59" s="28"/>
      <c r="G59" s="28"/>
      <c r="H59" s="28"/>
      <c r="I59" s="28"/>
      <c r="J59" s="28"/>
      <c r="K59" s="27"/>
      <c r="L59" s="32"/>
    </row>
    <row r="60" ht="18.75" spans="2:12">
      <c r="B60" s="28"/>
      <c r="C60" s="28"/>
      <c r="D60" s="27"/>
      <c r="E60" s="27"/>
      <c r="F60" s="28"/>
      <c r="G60" s="28"/>
      <c r="H60" s="28"/>
      <c r="I60" s="28"/>
      <c r="J60" s="28"/>
      <c r="K60" s="27"/>
      <c r="L60" s="32"/>
    </row>
    <row r="61" ht="18.75" spans="2:12">
      <c r="B61" s="28"/>
      <c r="C61" s="28"/>
      <c r="D61" s="27"/>
      <c r="E61" s="27"/>
      <c r="F61" s="28"/>
      <c r="G61" s="28"/>
      <c r="H61" s="28"/>
      <c r="I61" s="28"/>
      <c r="J61" s="28"/>
      <c r="K61" s="27"/>
      <c r="L61" s="32"/>
    </row>
    <row r="62" ht="18.75" spans="2:12">
      <c r="B62" s="28"/>
      <c r="C62" s="28"/>
      <c r="D62" s="27"/>
      <c r="E62" s="27"/>
      <c r="F62" s="28"/>
      <c r="G62" s="28"/>
      <c r="H62" s="28"/>
      <c r="I62" s="28"/>
      <c r="J62" s="28"/>
      <c r="K62" s="27"/>
      <c r="L62" s="32"/>
    </row>
    <row r="63" ht="18.75" spans="2:12">
      <c r="B63" s="28"/>
      <c r="C63" s="28"/>
      <c r="D63" s="27"/>
      <c r="E63" s="27"/>
      <c r="F63" s="28"/>
      <c r="G63" s="28"/>
      <c r="H63" s="28"/>
      <c r="I63" s="28"/>
      <c r="J63" s="28"/>
      <c r="K63" s="27"/>
      <c r="L63" s="32"/>
    </row>
    <row r="64" ht="18.75" spans="2:12">
      <c r="B64" s="28"/>
      <c r="C64" s="28"/>
      <c r="D64" s="27"/>
      <c r="E64" s="27"/>
      <c r="F64" s="28"/>
      <c r="G64" s="28"/>
      <c r="H64" s="28"/>
      <c r="I64" s="28"/>
      <c r="J64" s="28"/>
      <c r="K64" s="27"/>
      <c r="L64" s="32"/>
    </row>
    <row r="65" ht="18.75" spans="2:12">
      <c r="B65" s="28"/>
      <c r="C65" s="28"/>
      <c r="D65" s="27"/>
      <c r="E65" s="27"/>
      <c r="F65" s="28"/>
      <c r="G65" s="28"/>
      <c r="H65" s="28"/>
      <c r="I65" s="28"/>
      <c r="J65" s="28"/>
      <c r="K65" s="27"/>
      <c r="L65" s="32"/>
    </row>
    <row r="66" ht="18.75" spans="2:12">
      <c r="B66" s="28"/>
      <c r="C66" s="28"/>
      <c r="D66" s="27"/>
      <c r="E66" s="27"/>
      <c r="F66" s="28"/>
      <c r="G66" s="28"/>
      <c r="H66" s="28"/>
      <c r="I66" s="28"/>
      <c r="J66" s="28"/>
      <c r="K66" s="27"/>
      <c r="L66" s="32"/>
    </row>
    <row r="67" ht="18.75" spans="2:12">
      <c r="B67" s="32"/>
      <c r="C67" s="28"/>
      <c r="D67" s="32"/>
      <c r="E67" s="27"/>
      <c r="F67" s="28"/>
      <c r="G67" s="32"/>
      <c r="H67" s="28"/>
      <c r="I67" s="32"/>
      <c r="J67" s="32"/>
      <c r="K67" s="32"/>
      <c r="L67" s="32"/>
    </row>
    <row r="68" ht="18.75" spans="2:12">
      <c r="B68" s="32"/>
      <c r="C68" s="28"/>
      <c r="D68" s="32"/>
      <c r="E68" s="27"/>
      <c r="F68" s="28"/>
      <c r="G68" s="32"/>
      <c r="H68" s="28"/>
      <c r="I68" s="32"/>
      <c r="J68" s="32"/>
      <c r="K68" s="32"/>
      <c r="L68" s="32"/>
    </row>
    <row r="69" ht="18.75" spans="2:12">
      <c r="B69" s="32"/>
      <c r="C69" s="28"/>
      <c r="D69" s="32"/>
      <c r="E69" s="27"/>
      <c r="F69" s="28"/>
      <c r="G69" s="32"/>
      <c r="H69" s="28"/>
      <c r="I69" s="32"/>
      <c r="J69" s="32"/>
      <c r="K69" s="32"/>
      <c r="L69" s="32"/>
    </row>
    <row r="70" ht="18.75" spans="2:12">
      <c r="B70" s="32"/>
      <c r="C70" s="28"/>
      <c r="D70" s="32"/>
      <c r="E70" s="27"/>
      <c r="F70" s="28"/>
      <c r="G70" s="32"/>
      <c r="H70" s="28"/>
      <c r="I70" s="32"/>
      <c r="J70" s="32"/>
      <c r="K70" s="32"/>
      <c r="L70" s="32"/>
    </row>
    <row r="71" ht="18.75" spans="2:12">
      <c r="B71" s="32"/>
      <c r="C71" s="28"/>
      <c r="D71" s="32"/>
      <c r="E71" s="27"/>
      <c r="F71" s="28"/>
      <c r="G71" s="32"/>
      <c r="H71" s="28"/>
      <c r="I71" s="32"/>
      <c r="J71" s="32"/>
      <c r="K71" s="32"/>
      <c r="L71" s="32"/>
    </row>
    <row r="72" ht="18.75" spans="2:12">
      <c r="B72" s="32"/>
      <c r="C72" s="28"/>
      <c r="D72" s="32"/>
      <c r="E72" s="27"/>
      <c r="F72" s="28"/>
      <c r="G72" s="32"/>
      <c r="H72" s="28"/>
      <c r="I72" s="32"/>
      <c r="J72" s="32"/>
      <c r="K72" s="32"/>
      <c r="L72" s="32"/>
    </row>
    <row r="73" ht="18.75" spans="2:12">
      <c r="B73" s="32"/>
      <c r="C73" s="28"/>
      <c r="D73" s="32"/>
      <c r="E73" s="27"/>
      <c r="F73" s="28"/>
      <c r="G73" s="32"/>
      <c r="H73" s="28"/>
      <c r="I73" s="32"/>
      <c r="J73" s="32"/>
      <c r="K73" s="32"/>
      <c r="L73" s="32"/>
    </row>
    <row r="74" ht="18.75" spans="2:12">
      <c r="B74" s="32"/>
      <c r="C74" s="28"/>
      <c r="D74" s="32"/>
      <c r="E74" s="27"/>
      <c r="F74" s="28"/>
      <c r="G74" s="32"/>
      <c r="H74" s="28"/>
      <c r="I74" s="32"/>
      <c r="J74" s="32"/>
      <c r="K74" s="32"/>
      <c r="L74" s="32"/>
    </row>
    <row r="75" ht="18.75" spans="2:12">
      <c r="B75" s="32"/>
      <c r="C75" s="28"/>
      <c r="D75" s="32"/>
      <c r="E75" s="27"/>
      <c r="F75" s="28"/>
      <c r="G75" s="32"/>
      <c r="H75" s="28"/>
      <c r="I75" s="32"/>
      <c r="J75" s="32"/>
      <c r="K75" s="32"/>
      <c r="L75" s="32"/>
    </row>
    <row r="76" ht="18.75" spans="2:12">
      <c r="B76" s="32"/>
      <c r="C76" s="28"/>
      <c r="D76" s="32"/>
      <c r="E76" s="27"/>
      <c r="F76" s="28"/>
      <c r="G76" s="32"/>
      <c r="H76" s="28"/>
      <c r="I76" s="32"/>
      <c r="J76" s="32"/>
      <c r="K76" s="32"/>
      <c r="L76" s="32"/>
    </row>
    <row r="77" ht="18.75" spans="2:12">
      <c r="B77" s="32"/>
      <c r="C77" s="28"/>
      <c r="D77" s="32"/>
      <c r="E77" s="27"/>
      <c r="F77" s="28"/>
      <c r="G77" s="32"/>
      <c r="H77" s="28"/>
      <c r="I77" s="32"/>
      <c r="J77" s="32"/>
      <c r="K77" s="32"/>
      <c r="L77" s="32"/>
    </row>
    <row r="78" ht="18.75" spans="2:12">
      <c r="B78" s="32"/>
      <c r="C78" s="28"/>
      <c r="D78" s="32"/>
      <c r="E78" s="27"/>
      <c r="F78" s="28"/>
      <c r="G78" s="32"/>
      <c r="H78" s="28"/>
      <c r="I78" s="32"/>
      <c r="J78" s="32"/>
      <c r="K78" s="32"/>
      <c r="L78" s="32"/>
    </row>
    <row r="79" ht="18.75" spans="2:12">
      <c r="B79" s="32"/>
      <c r="C79" s="28"/>
      <c r="D79" s="32"/>
      <c r="E79" s="27"/>
      <c r="F79" s="28"/>
      <c r="G79" s="32"/>
      <c r="H79" s="28"/>
      <c r="I79" s="32"/>
      <c r="J79" s="32"/>
      <c r="K79" s="32"/>
      <c r="L79" s="32"/>
    </row>
    <row r="80" ht="18.75" spans="2:12">
      <c r="B80" s="32"/>
      <c r="C80" s="28"/>
      <c r="D80" s="32"/>
      <c r="E80" s="27"/>
      <c r="F80" s="28"/>
      <c r="G80" s="32"/>
      <c r="H80" s="28"/>
      <c r="I80" s="32"/>
      <c r="J80" s="32"/>
      <c r="K80" s="32"/>
      <c r="L80" s="32"/>
    </row>
    <row r="81" ht="18.75" spans="2:12">
      <c r="B81" s="32"/>
      <c r="C81" s="28"/>
      <c r="D81" s="32"/>
      <c r="E81" s="27"/>
      <c r="F81" s="28"/>
      <c r="G81" s="32"/>
      <c r="H81" s="28"/>
      <c r="I81" s="32"/>
      <c r="J81" s="32"/>
      <c r="K81" s="32"/>
      <c r="L81" s="32"/>
    </row>
    <row r="82" ht="18.75" spans="2:12">
      <c r="B82" s="32"/>
      <c r="C82" s="28"/>
      <c r="D82" s="32"/>
      <c r="E82" s="27"/>
      <c r="F82" s="28"/>
      <c r="G82" s="32"/>
      <c r="H82" s="28"/>
      <c r="I82" s="32"/>
      <c r="J82" s="32"/>
      <c r="K82" s="32"/>
      <c r="L82" s="32"/>
    </row>
    <row r="83" ht="18.75" spans="2:12">
      <c r="B83" s="32"/>
      <c r="C83" s="28"/>
      <c r="D83" s="32"/>
      <c r="E83" s="27"/>
      <c r="F83" s="28"/>
      <c r="G83" s="32"/>
      <c r="H83" s="28"/>
      <c r="I83" s="32"/>
      <c r="J83" s="32"/>
      <c r="K83" s="32"/>
      <c r="L83" s="32"/>
    </row>
    <row r="84" ht="18.75" spans="2:12">
      <c r="B84" s="32"/>
      <c r="C84" s="28"/>
      <c r="D84" s="32"/>
      <c r="E84" s="27"/>
      <c r="F84" s="28"/>
      <c r="G84" s="32"/>
      <c r="H84" s="28"/>
      <c r="I84" s="32"/>
      <c r="J84" s="32"/>
      <c r="K84" s="32"/>
      <c r="L84" s="32"/>
    </row>
    <row r="85" ht="18.75" spans="2:12">
      <c r="B85" s="32"/>
      <c r="C85" s="28"/>
      <c r="D85" s="32"/>
      <c r="E85" s="27"/>
      <c r="F85" s="28"/>
      <c r="G85" s="32"/>
      <c r="H85" s="28"/>
      <c r="I85" s="32"/>
      <c r="J85" s="32"/>
      <c r="K85" s="32"/>
      <c r="L85" s="32"/>
    </row>
    <row r="86" ht="18.75" spans="2:12">
      <c r="B86" s="32"/>
      <c r="C86" s="28"/>
      <c r="D86" s="32"/>
      <c r="E86" s="27"/>
      <c r="F86" s="28"/>
      <c r="G86" s="32"/>
      <c r="H86" s="28"/>
      <c r="I86" s="32"/>
      <c r="J86" s="32"/>
      <c r="K86" s="32"/>
      <c r="L86" s="32"/>
    </row>
    <row r="87" ht="18.75" spans="2:12">
      <c r="B87" s="32"/>
      <c r="C87" s="28"/>
      <c r="D87" s="32"/>
      <c r="E87" s="27"/>
      <c r="F87" s="28"/>
      <c r="G87" s="32"/>
      <c r="H87" s="28"/>
      <c r="I87" s="32"/>
      <c r="J87" s="32"/>
      <c r="K87" s="32"/>
      <c r="L87" s="32"/>
    </row>
    <row r="88" ht="18.75" spans="2:12">
      <c r="B88" s="32"/>
      <c r="C88" s="28"/>
      <c r="D88" s="32"/>
      <c r="E88" s="27"/>
      <c r="F88" s="28"/>
      <c r="G88" s="32"/>
      <c r="H88" s="28"/>
      <c r="I88" s="32"/>
      <c r="J88" s="32"/>
      <c r="K88" s="32"/>
      <c r="L88" s="32"/>
    </row>
    <row r="89" ht="18.75" spans="2:12">
      <c r="B89" s="32"/>
      <c r="C89" s="28"/>
      <c r="D89" s="32"/>
      <c r="E89" s="27"/>
      <c r="F89" s="28"/>
      <c r="G89" s="32"/>
      <c r="H89" s="28"/>
      <c r="I89" s="32"/>
      <c r="J89" s="32"/>
      <c r="K89" s="32"/>
      <c r="L89" s="32"/>
    </row>
    <row r="90" ht="18.75" spans="2:12">
      <c r="B90" s="32"/>
      <c r="C90" s="28"/>
      <c r="D90" s="32"/>
      <c r="E90" s="27"/>
      <c r="F90" s="28"/>
      <c r="G90" s="32"/>
      <c r="H90" s="28"/>
      <c r="I90" s="32"/>
      <c r="J90" s="32"/>
      <c r="K90" s="32"/>
      <c r="L90" s="32"/>
    </row>
    <row r="91" ht="18.75" spans="2:12">
      <c r="B91" s="32"/>
      <c r="C91" s="28"/>
      <c r="D91" s="32"/>
      <c r="E91" s="27"/>
      <c r="F91" s="28"/>
      <c r="G91" s="32"/>
      <c r="H91" s="28"/>
      <c r="I91" s="32"/>
      <c r="J91" s="32"/>
      <c r="K91" s="32"/>
      <c r="L91" s="32"/>
    </row>
    <row r="92" ht="18.75" spans="2:12">
      <c r="B92" s="32"/>
      <c r="C92" s="28"/>
      <c r="D92" s="32"/>
      <c r="E92" s="27"/>
      <c r="F92" s="28"/>
      <c r="G92" s="32"/>
      <c r="H92" s="28"/>
      <c r="I92" s="32"/>
      <c r="J92" s="32"/>
      <c r="K92" s="32"/>
      <c r="L92" s="32"/>
    </row>
    <row r="93" ht="18.75" spans="2:12">
      <c r="B93" s="32"/>
      <c r="C93" s="28"/>
      <c r="D93" s="32"/>
      <c r="E93" s="27"/>
      <c r="F93" s="28"/>
      <c r="G93" s="32"/>
      <c r="H93" s="28"/>
      <c r="I93" s="32"/>
      <c r="J93" s="32"/>
      <c r="K93" s="32"/>
      <c r="L93" s="32"/>
    </row>
    <row r="94" ht="18.75" spans="2:12">
      <c r="B94" s="32"/>
      <c r="C94" s="28"/>
      <c r="D94" s="32"/>
      <c r="E94" s="27"/>
      <c r="F94" s="28"/>
      <c r="G94" s="32"/>
      <c r="H94" s="28"/>
      <c r="I94" s="32"/>
      <c r="J94" s="32"/>
      <c r="K94" s="32"/>
      <c r="L94" s="32"/>
    </row>
    <row r="95" ht="18.75" spans="2:12">
      <c r="B95" s="32"/>
      <c r="C95" s="28"/>
      <c r="D95" s="32"/>
      <c r="E95" s="27"/>
      <c r="F95" s="28"/>
      <c r="G95" s="32"/>
      <c r="H95" s="28"/>
      <c r="I95" s="32"/>
      <c r="J95" s="32"/>
      <c r="K95" s="32"/>
      <c r="L95" s="32"/>
    </row>
    <row r="96" ht="18.75" spans="2:12">
      <c r="B96" s="32"/>
      <c r="C96" s="28"/>
      <c r="D96" s="32"/>
      <c r="E96" s="27"/>
      <c r="F96" s="28"/>
      <c r="G96" s="32"/>
      <c r="H96" s="28"/>
      <c r="I96" s="32"/>
      <c r="J96" s="32"/>
      <c r="K96" s="32"/>
      <c r="L96" s="32"/>
    </row>
    <row r="97" ht="18.75" spans="2:12">
      <c r="B97" s="32"/>
      <c r="C97" s="28"/>
      <c r="D97" s="32"/>
      <c r="E97" s="27"/>
      <c r="F97" s="28"/>
      <c r="G97" s="32"/>
      <c r="H97" s="28"/>
      <c r="I97" s="32"/>
      <c r="J97" s="32"/>
      <c r="K97" s="32"/>
      <c r="L97" s="32"/>
    </row>
    <row r="98" ht="18.75" spans="2:12">
      <c r="B98" s="32"/>
      <c r="C98" s="28"/>
      <c r="D98" s="32"/>
      <c r="E98" s="27"/>
      <c r="F98" s="28"/>
      <c r="G98" s="32"/>
      <c r="H98" s="28"/>
      <c r="I98" s="32"/>
      <c r="J98" s="32"/>
      <c r="K98" s="32"/>
      <c r="L98" s="32"/>
    </row>
    <row r="99" ht="18.75" spans="2:12">
      <c r="B99" s="32"/>
      <c r="C99" s="28"/>
      <c r="D99" s="32"/>
      <c r="E99" s="27"/>
      <c r="F99" s="28"/>
      <c r="G99" s="32"/>
      <c r="H99" s="28"/>
      <c r="I99" s="32"/>
      <c r="J99" s="32"/>
      <c r="K99" s="32"/>
      <c r="L99" s="32"/>
    </row>
    <row r="100" ht="18.75" spans="2:12">
      <c r="B100" s="32"/>
      <c r="C100" s="28"/>
      <c r="D100" s="32"/>
      <c r="E100" s="27"/>
      <c r="F100" s="28"/>
      <c r="G100" s="32"/>
      <c r="H100" s="28"/>
      <c r="I100" s="32"/>
      <c r="J100" s="32"/>
      <c r="K100" s="32"/>
      <c r="L100" s="32"/>
    </row>
    <row r="101" ht="18.75" spans="2:12">
      <c r="B101" s="32"/>
      <c r="C101" s="28"/>
      <c r="D101" s="32"/>
      <c r="E101" s="27"/>
      <c r="F101" s="28"/>
      <c r="G101" s="32"/>
      <c r="H101" s="28"/>
      <c r="I101" s="32"/>
      <c r="J101" s="32"/>
      <c r="K101" s="32"/>
      <c r="L101" s="32"/>
    </row>
    <row r="102" ht="18.75" spans="2:12">
      <c r="B102" s="32"/>
      <c r="C102" s="28"/>
      <c r="D102" s="32"/>
      <c r="E102" s="27"/>
      <c r="F102" s="28"/>
      <c r="G102" s="32"/>
      <c r="H102" s="28"/>
      <c r="I102" s="32"/>
      <c r="J102" s="32"/>
      <c r="K102" s="32"/>
      <c r="L102" s="32"/>
    </row>
    <row r="103" ht="18.75" spans="2:12">
      <c r="B103" s="32"/>
      <c r="C103" s="28"/>
      <c r="D103" s="32"/>
      <c r="E103" s="27"/>
      <c r="F103" s="28"/>
      <c r="G103" s="32"/>
      <c r="H103" s="28"/>
      <c r="I103" s="32"/>
      <c r="J103" s="32"/>
      <c r="K103" s="32"/>
      <c r="L103" s="32"/>
    </row>
    <row r="104" ht="18.75" spans="2:12">
      <c r="B104" s="32"/>
      <c r="C104" s="28"/>
      <c r="D104" s="32"/>
      <c r="E104" s="27"/>
      <c r="F104" s="28"/>
      <c r="G104" s="32"/>
      <c r="H104" s="28"/>
      <c r="I104" s="32"/>
      <c r="J104" s="32"/>
      <c r="K104" s="32"/>
      <c r="L104" s="32"/>
    </row>
    <row r="105" ht="18.75" spans="2:12">
      <c r="B105" s="32"/>
      <c r="C105" s="28"/>
      <c r="D105" s="32"/>
      <c r="E105" s="27"/>
      <c r="F105" s="28"/>
      <c r="G105" s="32"/>
      <c r="H105" s="28"/>
      <c r="I105" s="32"/>
      <c r="J105" s="32"/>
      <c r="K105" s="32"/>
      <c r="L105" s="32"/>
    </row>
    <row r="106" ht="18.75" spans="2:12">
      <c r="B106" s="32"/>
      <c r="C106" s="28"/>
      <c r="D106" s="32"/>
      <c r="E106" s="27"/>
      <c r="F106" s="28"/>
      <c r="G106" s="32"/>
      <c r="H106" s="28"/>
      <c r="I106" s="32"/>
      <c r="J106" s="32"/>
      <c r="K106" s="32"/>
      <c r="L106" s="32"/>
    </row>
    <row r="107" ht="18.75" spans="2:12">
      <c r="B107" s="32"/>
      <c r="C107" s="28"/>
      <c r="D107" s="32"/>
      <c r="E107" s="27"/>
      <c r="F107" s="28"/>
      <c r="G107" s="32"/>
      <c r="H107" s="28"/>
      <c r="I107" s="32"/>
      <c r="J107" s="32"/>
      <c r="K107" s="32"/>
      <c r="L107" s="32"/>
    </row>
    <row r="108" ht="18.75" spans="2:12">
      <c r="B108" s="32"/>
      <c r="C108" s="28"/>
      <c r="D108" s="32"/>
      <c r="E108" s="27"/>
      <c r="F108" s="28"/>
      <c r="G108" s="32"/>
      <c r="H108" s="28"/>
      <c r="I108" s="32"/>
      <c r="J108" s="32"/>
      <c r="K108" s="32"/>
      <c r="L108" s="32"/>
    </row>
    <row r="109" ht="18.75" spans="2:12">
      <c r="B109" s="32"/>
      <c r="C109" s="28"/>
      <c r="D109" s="32"/>
      <c r="E109" s="27"/>
      <c r="F109" s="28"/>
      <c r="G109" s="32"/>
      <c r="H109" s="28"/>
      <c r="I109" s="32"/>
      <c r="J109" s="32"/>
      <c r="K109" s="32"/>
      <c r="L109" s="32"/>
    </row>
    <row r="110" ht="18.75" spans="2:12">
      <c r="B110" s="32"/>
      <c r="C110" s="28"/>
      <c r="D110" s="32"/>
      <c r="E110" s="27"/>
      <c r="F110" s="28"/>
      <c r="G110" s="32"/>
      <c r="H110" s="28"/>
      <c r="I110" s="32"/>
      <c r="J110" s="32"/>
      <c r="K110" s="32"/>
      <c r="L110" s="32"/>
    </row>
    <row r="111" ht="18.75" spans="2:12">
      <c r="B111" s="32"/>
      <c r="C111" s="28"/>
      <c r="D111" s="32"/>
      <c r="E111" s="27"/>
      <c r="F111" s="28"/>
      <c r="G111" s="32"/>
      <c r="H111" s="28"/>
      <c r="I111" s="32"/>
      <c r="J111" s="32"/>
      <c r="K111" s="32"/>
      <c r="L111" s="32"/>
    </row>
    <row r="112" ht="18.75" spans="2:12">
      <c r="B112" s="32"/>
      <c r="C112" s="28"/>
      <c r="D112" s="32"/>
      <c r="E112" s="27"/>
      <c r="F112" s="28"/>
      <c r="G112" s="32"/>
      <c r="H112" s="28"/>
      <c r="I112" s="32"/>
      <c r="J112" s="32"/>
      <c r="K112" s="32"/>
      <c r="L112" s="32"/>
    </row>
    <row r="113" ht="18.75" spans="2:12">
      <c r="B113" s="32"/>
      <c r="C113" s="28"/>
      <c r="D113" s="32"/>
      <c r="E113" s="27"/>
      <c r="F113" s="28"/>
      <c r="G113" s="32"/>
      <c r="H113" s="28"/>
      <c r="I113" s="32"/>
      <c r="J113" s="32"/>
      <c r="K113" s="32"/>
      <c r="L113" s="32"/>
    </row>
    <row r="114" ht="18.75" spans="2:12">
      <c r="B114" s="32"/>
      <c r="C114" s="28"/>
      <c r="D114" s="32"/>
      <c r="E114" s="27"/>
      <c r="F114" s="28"/>
      <c r="G114" s="32"/>
      <c r="H114" s="28"/>
      <c r="I114" s="32"/>
      <c r="J114" s="32"/>
      <c r="K114" s="32"/>
      <c r="L114" s="32"/>
    </row>
    <row r="115" ht="18.75" spans="2:12">
      <c r="B115" s="32"/>
      <c r="C115" s="28"/>
      <c r="D115" s="32"/>
      <c r="E115" s="27"/>
      <c r="F115" s="28"/>
      <c r="G115" s="32"/>
      <c r="H115" s="28"/>
      <c r="I115" s="32"/>
      <c r="J115" s="32"/>
      <c r="K115" s="32"/>
      <c r="L115" s="32"/>
    </row>
    <row r="116" ht="18.75" spans="2:12">
      <c r="B116" s="32"/>
      <c r="C116" s="28"/>
      <c r="D116" s="32"/>
      <c r="E116" s="27"/>
      <c r="F116" s="28"/>
      <c r="G116" s="32"/>
      <c r="H116" s="28"/>
      <c r="I116" s="32"/>
      <c r="J116" s="32"/>
      <c r="K116" s="32"/>
      <c r="L116" s="32"/>
    </row>
    <row r="117" ht="18.75" spans="2:12">
      <c r="B117" s="32"/>
      <c r="C117" s="28"/>
      <c r="D117" s="32"/>
      <c r="E117" s="27"/>
      <c r="F117" s="28"/>
      <c r="G117" s="32"/>
      <c r="H117" s="28"/>
      <c r="I117" s="32"/>
      <c r="J117" s="32"/>
      <c r="K117" s="32"/>
      <c r="L117" s="32"/>
    </row>
    <row r="118" ht="18.75" spans="2:12">
      <c r="B118" s="32"/>
      <c r="C118" s="28"/>
      <c r="D118" s="32"/>
      <c r="E118" s="27"/>
      <c r="F118" s="28"/>
      <c r="G118" s="32"/>
      <c r="H118" s="28"/>
      <c r="I118" s="32"/>
      <c r="J118" s="32"/>
      <c r="K118" s="32"/>
      <c r="L118" s="32"/>
    </row>
    <row r="119" ht="18.75" spans="2:12">
      <c r="B119" s="32"/>
      <c r="C119" s="28"/>
      <c r="D119" s="32"/>
      <c r="E119" s="27"/>
      <c r="F119" s="28"/>
      <c r="G119" s="32"/>
      <c r="H119" s="28"/>
      <c r="I119" s="32"/>
      <c r="J119" s="32"/>
      <c r="K119" s="32"/>
      <c r="L119" s="32"/>
    </row>
    <row r="120" ht="18.75" spans="2:12">
      <c r="B120" s="32"/>
      <c r="C120" s="28"/>
      <c r="D120" s="32"/>
      <c r="E120" s="27"/>
      <c r="F120" s="28"/>
      <c r="G120" s="32"/>
      <c r="H120" s="28"/>
      <c r="I120" s="32"/>
      <c r="J120" s="32"/>
      <c r="K120" s="32"/>
      <c r="L120" s="32"/>
    </row>
    <row r="121" ht="18.75" spans="2:12">
      <c r="B121" s="32"/>
      <c r="C121" s="28"/>
      <c r="D121" s="32"/>
      <c r="E121" s="27"/>
      <c r="F121" s="28"/>
      <c r="G121" s="32"/>
      <c r="H121" s="28"/>
      <c r="I121" s="32"/>
      <c r="J121" s="32"/>
      <c r="K121" s="32"/>
      <c r="L121" s="32"/>
    </row>
    <row r="122" ht="18.75" spans="2:12">
      <c r="B122" s="32"/>
      <c r="C122" s="28"/>
      <c r="D122" s="32"/>
      <c r="E122" s="27"/>
      <c r="F122" s="28"/>
      <c r="G122" s="32"/>
      <c r="H122" s="28"/>
      <c r="I122" s="32"/>
      <c r="J122" s="32"/>
      <c r="K122" s="32"/>
      <c r="L122" s="32"/>
    </row>
    <row r="123" ht="18.75" spans="2:12">
      <c r="B123" s="32"/>
      <c r="C123" s="28"/>
      <c r="D123" s="32"/>
      <c r="E123" s="27"/>
      <c r="F123" s="28"/>
      <c r="G123" s="32"/>
      <c r="H123" s="28"/>
      <c r="I123" s="32"/>
      <c r="J123" s="32"/>
      <c r="K123" s="32"/>
      <c r="L123" s="32"/>
    </row>
    <row r="124" ht="18.75" spans="2:12">
      <c r="B124" s="32"/>
      <c r="C124" s="28"/>
      <c r="D124" s="32"/>
      <c r="E124" s="27"/>
      <c r="F124" s="28"/>
      <c r="G124" s="32"/>
      <c r="H124" s="28"/>
      <c r="I124" s="32"/>
      <c r="J124" s="32"/>
      <c r="K124" s="32"/>
      <c r="L124" s="32"/>
    </row>
    <row r="125" ht="18.75" spans="2:12">
      <c r="B125" s="32"/>
      <c r="C125" s="28"/>
      <c r="D125" s="32"/>
      <c r="E125" s="27"/>
      <c r="F125" s="28"/>
      <c r="G125" s="32"/>
      <c r="H125" s="28"/>
      <c r="I125" s="32"/>
      <c r="J125" s="32"/>
      <c r="K125" s="32"/>
      <c r="L125" s="32"/>
    </row>
    <row r="126" ht="18.75" spans="2:12">
      <c r="B126" s="32"/>
      <c r="C126" s="28"/>
      <c r="D126" s="32"/>
      <c r="E126" s="27"/>
      <c r="F126" s="28"/>
      <c r="G126" s="32"/>
      <c r="H126" s="28"/>
      <c r="I126" s="32"/>
      <c r="J126" s="32"/>
      <c r="K126" s="32"/>
      <c r="L126" s="32"/>
    </row>
    <row r="127" ht="18.75" spans="2:12">
      <c r="B127" s="32"/>
      <c r="C127" s="28"/>
      <c r="D127" s="32"/>
      <c r="E127" s="27"/>
      <c r="F127" s="28"/>
      <c r="G127" s="32"/>
      <c r="H127" s="28"/>
      <c r="I127" s="32"/>
      <c r="J127" s="32"/>
      <c r="K127" s="32"/>
      <c r="L127" s="32"/>
    </row>
    <row r="128" ht="18.75" spans="2:12">
      <c r="B128" s="32"/>
      <c r="C128" s="28"/>
      <c r="D128" s="32"/>
      <c r="E128" s="27"/>
      <c r="F128" s="28"/>
      <c r="G128" s="32"/>
      <c r="H128" s="28"/>
      <c r="I128" s="32"/>
      <c r="J128" s="32"/>
      <c r="K128" s="32"/>
      <c r="L128" s="32"/>
    </row>
    <row r="129" ht="18.75" spans="2:12">
      <c r="B129" s="32"/>
      <c r="C129" s="28"/>
      <c r="D129" s="32"/>
      <c r="E129" s="27"/>
      <c r="F129" s="28"/>
      <c r="G129" s="32"/>
      <c r="H129" s="28"/>
      <c r="I129" s="32"/>
      <c r="J129" s="32"/>
      <c r="K129" s="32"/>
      <c r="L129" s="32"/>
    </row>
    <row r="130" ht="18.75" spans="2:12">
      <c r="B130" s="32"/>
      <c r="C130" s="28"/>
      <c r="D130" s="32"/>
      <c r="E130" s="27"/>
      <c r="F130" s="28"/>
      <c r="G130" s="32"/>
      <c r="H130" s="28"/>
      <c r="I130" s="32"/>
      <c r="J130" s="32"/>
      <c r="K130" s="32"/>
      <c r="L130" s="32"/>
    </row>
    <row r="131" ht="18.75" spans="2:12">
      <c r="B131" s="32"/>
      <c r="C131" s="28"/>
      <c r="D131" s="32"/>
      <c r="E131" s="27"/>
      <c r="F131" s="28"/>
      <c r="G131" s="32"/>
      <c r="H131" s="28"/>
      <c r="I131" s="32"/>
      <c r="J131" s="32"/>
      <c r="K131" s="32"/>
      <c r="L131" s="32"/>
    </row>
    <row r="132" ht="18.75" spans="2:12">
      <c r="B132" s="32"/>
      <c r="C132" s="28"/>
      <c r="D132" s="32"/>
      <c r="E132" s="27"/>
      <c r="F132" s="28"/>
      <c r="G132" s="32"/>
      <c r="H132" s="28"/>
      <c r="I132" s="32"/>
      <c r="J132" s="32"/>
      <c r="K132" s="32"/>
      <c r="L132" s="32"/>
    </row>
    <row r="133" ht="18.75" spans="2:12">
      <c r="B133" s="32"/>
      <c r="C133" s="28"/>
      <c r="D133" s="32"/>
      <c r="E133" s="27"/>
      <c r="F133" s="28"/>
      <c r="G133" s="32"/>
      <c r="H133" s="28"/>
      <c r="I133" s="32"/>
      <c r="J133" s="32"/>
      <c r="K133" s="32"/>
      <c r="L133" s="32"/>
    </row>
    <row r="134" ht="18.75" spans="2:12">
      <c r="B134" s="32"/>
      <c r="C134" s="28"/>
      <c r="D134" s="32"/>
      <c r="E134" s="27"/>
      <c r="F134" s="28"/>
      <c r="G134" s="32"/>
      <c r="H134" s="28"/>
      <c r="I134" s="32"/>
      <c r="J134" s="32"/>
      <c r="K134" s="32"/>
      <c r="L134" s="32"/>
    </row>
    <row r="135" ht="18.75" spans="2:12">
      <c r="B135" s="32"/>
      <c r="C135" s="28"/>
      <c r="D135" s="32"/>
      <c r="E135" s="27"/>
      <c r="F135" s="28"/>
      <c r="G135" s="32"/>
      <c r="H135" s="28"/>
      <c r="I135" s="32"/>
      <c r="J135" s="32"/>
      <c r="K135" s="32"/>
      <c r="L135" s="32"/>
    </row>
    <row r="136" ht="18.75" spans="2:12">
      <c r="B136" s="32"/>
      <c r="C136" s="28"/>
      <c r="D136" s="32"/>
      <c r="E136" s="27"/>
      <c r="F136" s="28"/>
      <c r="G136" s="32"/>
      <c r="H136" s="28"/>
      <c r="I136" s="32"/>
      <c r="J136" s="32"/>
      <c r="K136" s="32"/>
      <c r="L136" s="32"/>
    </row>
    <row r="137" ht="18.75" spans="2:12">
      <c r="B137" s="32"/>
      <c r="C137" s="28"/>
      <c r="D137" s="32"/>
      <c r="E137" s="27"/>
      <c r="F137" s="28"/>
      <c r="G137" s="32"/>
      <c r="H137" s="28"/>
      <c r="I137" s="32"/>
      <c r="J137" s="32"/>
      <c r="K137" s="32"/>
      <c r="L137" s="32"/>
    </row>
    <row r="138" ht="18.75" spans="2:12">
      <c r="B138" s="32"/>
      <c r="C138" s="28"/>
      <c r="D138" s="32"/>
      <c r="E138" s="27"/>
      <c r="F138" s="28"/>
      <c r="G138" s="32"/>
      <c r="H138" s="28"/>
      <c r="I138" s="32"/>
      <c r="J138" s="32"/>
      <c r="K138" s="32"/>
      <c r="L138" s="32"/>
    </row>
    <row r="139" ht="18.75" spans="2:12">
      <c r="B139" s="32"/>
      <c r="C139" s="28"/>
      <c r="D139" s="32"/>
      <c r="E139" s="27"/>
      <c r="F139" s="28"/>
      <c r="G139" s="32"/>
      <c r="H139" s="28"/>
      <c r="I139" s="32"/>
      <c r="J139" s="32"/>
      <c r="K139" s="32"/>
      <c r="L139" s="32"/>
    </row>
    <row r="140" ht="18.75" spans="2:12">
      <c r="B140" s="32"/>
      <c r="C140" s="28"/>
      <c r="D140" s="32"/>
      <c r="E140" s="27"/>
      <c r="F140" s="28"/>
      <c r="G140" s="32"/>
      <c r="H140" s="28"/>
      <c r="I140" s="32"/>
      <c r="J140" s="32"/>
      <c r="K140" s="32"/>
      <c r="L140" s="32"/>
    </row>
    <row r="141" ht="18.75" spans="2:12">
      <c r="B141" s="32"/>
      <c r="C141" s="28"/>
      <c r="D141" s="32"/>
      <c r="E141" s="27"/>
      <c r="F141" s="28"/>
      <c r="G141" s="32"/>
      <c r="H141" s="28"/>
      <c r="I141" s="32"/>
      <c r="J141" s="32"/>
      <c r="K141" s="32"/>
      <c r="L141" s="32"/>
    </row>
    <row r="142" ht="18.75" spans="2:12">
      <c r="B142" s="32"/>
      <c r="C142" s="28"/>
      <c r="D142" s="32"/>
      <c r="E142" s="27"/>
      <c r="F142" s="28"/>
      <c r="G142" s="32"/>
      <c r="H142" s="28"/>
      <c r="I142" s="32"/>
      <c r="J142" s="32"/>
      <c r="K142" s="32"/>
      <c r="L142" s="32"/>
    </row>
    <row r="143" ht="18.75" spans="2:12">
      <c r="B143" s="32"/>
      <c r="C143" s="28"/>
      <c r="D143" s="32"/>
      <c r="E143" s="27"/>
      <c r="F143" s="28"/>
      <c r="G143" s="32"/>
      <c r="H143" s="28"/>
      <c r="I143" s="32"/>
      <c r="J143" s="32"/>
      <c r="K143" s="32"/>
      <c r="L143" s="32"/>
    </row>
    <row r="144" ht="18.75" spans="2:12">
      <c r="B144" s="32"/>
      <c r="C144" s="28"/>
      <c r="D144" s="32"/>
      <c r="E144" s="27"/>
      <c r="F144" s="28"/>
      <c r="G144" s="32"/>
      <c r="H144" s="28"/>
      <c r="I144" s="32"/>
      <c r="J144" s="32"/>
      <c r="K144" s="32"/>
      <c r="L144" s="32"/>
    </row>
    <row r="145" ht="18.75" spans="2:12">
      <c r="B145" s="32"/>
      <c r="C145" s="28"/>
      <c r="D145" s="32"/>
      <c r="E145" s="27"/>
      <c r="F145" s="28"/>
      <c r="G145" s="32"/>
      <c r="H145" s="28"/>
      <c r="I145" s="32"/>
      <c r="J145" s="32"/>
      <c r="K145" s="32"/>
      <c r="L145" s="32"/>
    </row>
    <row r="146" ht="18.75" spans="2:12">
      <c r="B146" s="32"/>
      <c r="C146" s="28"/>
      <c r="D146" s="32"/>
      <c r="E146" s="27"/>
      <c r="F146" s="28"/>
      <c r="G146" s="32"/>
      <c r="H146" s="28"/>
      <c r="I146" s="32"/>
      <c r="J146" s="32"/>
      <c r="K146" s="32"/>
      <c r="L146" s="32"/>
    </row>
    <row r="147" ht="18.75" spans="2:12">
      <c r="B147" s="32"/>
      <c r="C147" s="28"/>
      <c r="D147" s="32"/>
      <c r="E147" s="27"/>
      <c r="F147" s="28"/>
      <c r="G147" s="32"/>
      <c r="H147" s="28"/>
      <c r="I147" s="32"/>
      <c r="J147" s="32"/>
      <c r="K147" s="32"/>
      <c r="L147" s="32"/>
    </row>
    <row r="148" ht="18.75" spans="2:12">
      <c r="B148" s="32"/>
      <c r="C148" s="28"/>
      <c r="D148" s="32"/>
      <c r="E148" s="27"/>
      <c r="F148" s="28"/>
      <c r="G148" s="32"/>
      <c r="H148" s="28"/>
      <c r="I148" s="32"/>
      <c r="J148" s="32"/>
      <c r="K148" s="32"/>
      <c r="L148" s="32"/>
    </row>
    <row r="149" ht="18.75" spans="2:12">
      <c r="B149" s="32"/>
      <c r="C149" s="28"/>
      <c r="D149" s="32"/>
      <c r="E149" s="27"/>
      <c r="F149" s="28"/>
      <c r="G149" s="32"/>
      <c r="H149" s="28"/>
      <c r="I149" s="32"/>
      <c r="J149" s="32"/>
      <c r="K149" s="32"/>
      <c r="L149" s="32"/>
    </row>
    <row r="150" ht="18.75" spans="2:12">
      <c r="B150" s="32"/>
      <c r="C150" s="28"/>
      <c r="D150" s="32"/>
      <c r="E150" s="27"/>
      <c r="F150" s="28"/>
      <c r="G150" s="32"/>
      <c r="H150" s="28"/>
      <c r="I150" s="32"/>
      <c r="J150" s="32"/>
      <c r="K150" s="32"/>
      <c r="L150" s="32"/>
    </row>
    <row r="151" ht="18.75" spans="2:12">
      <c r="B151" s="32"/>
      <c r="C151" s="28"/>
      <c r="D151" s="32"/>
      <c r="E151" s="27"/>
      <c r="F151" s="28"/>
      <c r="G151" s="32"/>
      <c r="H151" s="28"/>
      <c r="I151" s="32"/>
      <c r="J151" s="32"/>
      <c r="K151" s="32"/>
      <c r="L151" s="32"/>
    </row>
    <row r="152" ht="18.75" spans="2:12">
      <c r="B152" s="32"/>
      <c r="C152" s="28"/>
      <c r="D152" s="32"/>
      <c r="E152" s="27"/>
      <c r="F152" s="28"/>
      <c r="G152" s="32"/>
      <c r="H152" s="28"/>
      <c r="I152" s="32"/>
      <c r="J152" s="32"/>
      <c r="K152" s="32"/>
      <c r="L152" s="32"/>
    </row>
    <row r="153" ht="18.75" spans="2:12">
      <c r="B153" s="32"/>
      <c r="C153" s="28"/>
      <c r="D153" s="32"/>
      <c r="E153" s="27"/>
      <c r="F153" s="28"/>
      <c r="G153" s="32"/>
      <c r="H153" s="28"/>
      <c r="I153" s="32"/>
      <c r="J153" s="32"/>
      <c r="K153" s="32"/>
      <c r="L153" s="32"/>
    </row>
    <row r="154" ht="18.75" spans="2:12">
      <c r="B154" s="32"/>
      <c r="C154" s="28"/>
      <c r="D154" s="32"/>
      <c r="E154" s="27"/>
      <c r="F154" s="28"/>
      <c r="G154" s="32"/>
      <c r="H154" s="28"/>
      <c r="I154" s="32"/>
      <c r="J154" s="32"/>
      <c r="K154" s="32"/>
      <c r="L154" s="32"/>
    </row>
    <row r="155" ht="18.75" spans="2:12">
      <c r="B155" s="32"/>
      <c r="C155" s="28"/>
      <c r="D155" s="32"/>
      <c r="E155" s="27"/>
      <c r="F155" s="28"/>
      <c r="G155" s="32"/>
      <c r="H155" s="28"/>
      <c r="I155" s="32"/>
      <c r="J155" s="32"/>
      <c r="K155" s="32"/>
      <c r="L155" s="32"/>
    </row>
    <row r="156" ht="18.75" spans="2:12">
      <c r="B156" s="32"/>
      <c r="C156" s="28"/>
      <c r="D156" s="32"/>
      <c r="E156" s="27"/>
      <c r="F156" s="28"/>
      <c r="G156" s="32"/>
      <c r="H156" s="28"/>
      <c r="I156" s="32"/>
      <c r="J156" s="32"/>
      <c r="K156" s="32"/>
      <c r="L156" s="32"/>
    </row>
    <row r="157" ht="18.75" spans="2:12">
      <c r="B157" s="32"/>
      <c r="C157" s="28"/>
      <c r="D157" s="32"/>
      <c r="E157" s="27"/>
      <c r="F157" s="28"/>
      <c r="G157" s="32"/>
      <c r="H157" s="28"/>
      <c r="I157" s="32"/>
      <c r="J157" s="32"/>
      <c r="K157" s="32"/>
      <c r="L157" s="32"/>
    </row>
    <row r="158" ht="18.75" spans="2:12">
      <c r="B158" s="32"/>
      <c r="C158" s="28"/>
      <c r="D158" s="32"/>
      <c r="E158" s="27"/>
      <c r="F158" s="28"/>
      <c r="G158" s="32"/>
      <c r="H158" s="28"/>
      <c r="I158" s="32"/>
      <c r="J158" s="32"/>
      <c r="K158" s="32"/>
      <c r="L158" s="32"/>
    </row>
    <row r="159" ht="18.75" spans="2:12">
      <c r="B159" s="32"/>
      <c r="C159" s="28"/>
      <c r="D159" s="32"/>
      <c r="E159" s="27"/>
      <c r="F159" s="28"/>
      <c r="G159" s="32"/>
      <c r="H159" s="28"/>
      <c r="I159" s="32"/>
      <c r="J159" s="32"/>
      <c r="K159" s="32"/>
      <c r="L159" s="32"/>
    </row>
    <row r="160" ht="18.75" spans="2:12">
      <c r="B160" s="32"/>
      <c r="C160" s="28"/>
      <c r="D160" s="32"/>
      <c r="E160" s="27"/>
      <c r="F160" s="28"/>
      <c r="G160" s="32"/>
      <c r="H160" s="28"/>
      <c r="I160" s="32"/>
      <c r="J160" s="32"/>
      <c r="K160" s="32"/>
      <c r="L160" s="32"/>
    </row>
    <row r="161" ht="18.75" spans="2:12">
      <c r="B161" s="32"/>
      <c r="C161" s="28"/>
      <c r="D161" s="32"/>
      <c r="E161" s="27"/>
      <c r="F161" s="28"/>
      <c r="G161" s="32"/>
      <c r="H161" s="28"/>
      <c r="I161" s="32"/>
      <c r="J161" s="32"/>
      <c r="K161" s="32"/>
      <c r="L161" s="32"/>
    </row>
    <row r="162" ht="18.75" spans="2:12">
      <c r="B162" s="32"/>
      <c r="C162" s="28"/>
      <c r="D162" s="32"/>
      <c r="E162" s="27"/>
      <c r="F162" s="28"/>
      <c r="G162" s="32"/>
      <c r="H162" s="28"/>
      <c r="I162" s="32"/>
      <c r="J162" s="32"/>
      <c r="K162" s="32"/>
      <c r="L162" s="32"/>
    </row>
    <row r="163" ht="18.75" spans="2:12">
      <c r="B163" s="32"/>
      <c r="C163" s="28"/>
      <c r="D163" s="32"/>
      <c r="E163" s="27"/>
      <c r="F163" s="28"/>
      <c r="G163" s="32"/>
      <c r="H163" s="28"/>
      <c r="I163" s="32"/>
      <c r="J163" s="32"/>
      <c r="K163" s="32"/>
      <c r="L163" s="32"/>
    </row>
    <row r="164" ht="18.75" spans="2:12">
      <c r="B164" s="32"/>
      <c r="C164" s="28"/>
      <c r="D164" s="32"/>
      <c r="E164" s="27"/>
      <c r="F164" s="28"/>
      <c r="G164" s="32"/>
      <c r="H164" s="28"/>
      <c r="I164" s="32"/>
      <c r="J164" s="32"/>
      <c r="K164" s="32"/>
      <c r="L164" s="32"/>
    </row>
    <row r="165" ht="18.75" spans="2:12">
      <c r="B165" s="32"/>
      <c r="C165" s="28"/>
      <c r="D165" s="32"/>
      <c r="E165" s="27"/>
      <c r="F165" s="28"/>
      <c r="G165" s="32"/>
      <c r="H165" s="28"/>
      <c r="I165" s="32"/>
      <c r="J165" s="32"/>
      <c r="K165" s="32"/>
      <c r="L165" s="32"/>
    </row>
    <row r="166" ht="18.75" spans="2:12">
      <c r="B166" s="32"/>
      <c r="C166" s="28"/>
      <c r="D166" s="32"/>
      <c r="E166" s="27"/>
      <c r="F166" s="28"/>
      <c r="G166" s="32"/>
      <c r="H166" s="28"/>
      <c r="I166" s="32"/>
      <c r="J166" s="32"/>
      <c r="K166" s="32"/>
      <c r="L166" s="32"/>
    </row>
    <row r="167" ht="18.75" spans="2:12">
      <c r="B167" s="32"/>
      <c r="C167" s="28"/>
      <c r="D167" s="32"/>
      <c r="E167" s="27"/>
      <c r="F167" s="28"/>
      <c r="G167" s="32"/>
      <c r="H167" s="28"/>
      <c r="I167" s="32"/>
      <c r="J167" s="32"/>
      <c r="K167" s="32"/>
      <c r="L167" s="32"/>
    </row>
    <row r="168" ht="18.75" spans="2:12">
      <c r="B168" s="32"/>
      <c r="C168" s="28"/>
      <c r="D168" s="32"/>
      <c r="E168" s="27"/>
      <c r="F168" s="28"/>
      <c r="G168" s="32"/>
      <c r="H168" s="28"/>
      <c r="I168" s="32"/>
      <c r="J168" s="32"/>
      <c r="K168" s="32"/>
      <c r="L168" s="32"/>
    </row>
    <row r="169" ht="18.75" spans="2:12">
      <c r="B169" s="32"/>
      <c r="C169" s="28"/>
      <c r="D169" s="32"/>
      <c r="E169" s="27"/>
      <c r="F169" s="28"/>
      <c r="G169" s="32"/>
      <c r="H169" s="28"/>
      <c r="I169" s="32"/>
      <c r="J169" s="32"/>
      <c r="K169" s="32"/>
      <c r="L169" s="32"/>
    </row>
    <row r="170" ht="18.75" spans="2:12">
      <c r="B170" s="32"/>
      <c r="C170" s="28"/>
      <c r="D170" s="32"/>
      <c r="E170" s="27"/>
      <c r="F170" s="28"/>
      <c r="G170" s="32"/>
      <c r="H170" s="28"/>
      <c r="I170" s="32"/>
      <c r="J170" s="32"/>
      <c r="K170" s="32"/>
      <c r="L170" s="32"/>
    </row>
    <row r="171" ht="18.75" spans="2:12">
      <c r="B171" s="32"/>
      <c r="C171" s="28"/>
      <c r="D171" s="32"/>
      <c r="E171" s="27"/>
      <c r="F171" s="28"/>
      <c r="G171" s="32"/>
      <c r="H171" s="28"/>
      <c r="I171" s="32"/>
      <c r="J171" s="32"/>
      <c r="K171" s="32"/>
      <c r="L171" s="32"/>
    </row>
    <row r="172" ht="18.75" spans="2:12">
      <c r="B172" s="32"/>
      <c r="C172" s="28"/>
      <c r="D172" s="32"/>
      <c r="E172" s="27"/>
      <c r="F172" s="28"/>
      <c r="G172" s="32"/>
      <c r="H172" s="28"/>
      <c r="I172" s="32"/>
      <c r="J172" s="32"/>
      <c r="K172" s="32"/>
      <c r="L172" s="32"/>
    </row>
    <row r="173" ht="18.75" spans="2:12">
      <c r="B173" s="32"/>
      <c r="C173" s="28"/>
      <c r="D173" s="32"/>
      <c r="E173" s="27"/>
      <c r="F173" s="28"/>
      <c r="G173" s="32"/>
      <c r="H173" s="28"/>
      <c r="I173" s="32"/>
      <c r="J173" s="32"/>
      <c r="K173" s="32"/>
      <c r="L173" s="32"/>
    </row>
    <row r="174" ht="18.75" spans="2:12">
      <c r="B174" s="32"/>
      <c r="C174" s="28"/>
      <c r="D174" s="32"/>
      <c r="E174" s="27"/>
      <c r="F174" s="28"/>
      <c r="G174" s="32"/>
      <c r="H174" s="28"/>
      <c r="I174" s="32"/>
      <c r="J174" s="32"/>
      <c r="K174" s="32"/>
      <c r="L174" s="32"/>
    </row>
    <row r="175" ht="18.75" spans="2:12">
      <c r="B175" s="32"/>
      <c r="C175" s="28"/>
      <c r="D175" s="32"/>
      <c r="E175" s="27"/>
      <c r="F175" s="28"/>
      <c r="G175" s="32"/>
      <c r="H175" s="28"/>
      <c r="I175" s="32"/>
      <c r="J175" s="32"/>
      <c r="K175" s="32"/>
      <c r="L175" s="32"/>
    </row>
    <row r="176" ht="18.75" spans="2:12">
      <c r="B176" s="32"/>
      <c r="C176" s="28"/>
      <c r="D176" s="32"/>
      <c r="E176" s="27"/>
      <c r="F176" s="28"/>
      <c r="G176" s="32"/>
      <c r="H176" s="28"/>
      <c r="I176" s="32"/>
      <c r="J176" s="32"/>
      <c r="K176" s="32"/>
      <c r="L176" s="32"/>
    </row>
    <row r="177" ht="18.75" spans="2:12">
      <c r="B177" s="32"/>
      <c r="C177" s="28"/>
      <c r="D177" s="32"/>
      <c r="E177" s="27"/>
      <c r="F177" s="28"/>
      <c r="G177" s="32"/>
      <c r="H177" s="28"/>
      <c r="I177" s="32"/>
      <c r="J177" s="32"/>
      <c r="K177" s="32"/>
      <c r="L177" s="32"/>
    </row>
    <row r="178" ht="18.75" spans="2:12">
      <c r="B178" s="32"/>
      <c r="C178" s="28"/>
      <c r="D178" s="32"/>
      <c r="E178" s="27"/>
      <c r="F178" s="28"/>
      <c r="G178" s="32"/>
      <c r="H178" s="28"/>
      <c r="I178" s="32"/>
      <c r="J178" s="32"/>
      <c r="K178" s="32"/>
      <c r="L178" s="32"/>
    </row>
    <row r="179" ht="18.75" spans="2:12">
      <c r="B179" s="32"/>
      <c r="C179" s="28"/>
      <c r="D179" s="32"/>
      <c r="E179" s="27"/>
      <c r="F179" s="28"/>
      <c r="G179" s="32"/>
      <c r="H179" s="28"/>
      <c r="I179" s="32"/>
      <c r="J179" s="32"/>
      <c r="K179" s="32"/>
      <c r="L179" s="32"/>
    </row>
    <row r="180" ht="18.75" spans="2:12">
      <c r="B180" s="32"/>
      <c r="C180" s="28"/>
      <c r="D180" s="32"/>
      <c r="E180" s="27"/>
      <c r="F180" s="28"/>
      <c r="G180" s="32"/>
      <c r="H180" s="28"/>
      <c r="I180" s="32"/>
      <c r="J180" s="32"/>
      <c r="K180" s="32"/>
      <c r="L180" s="32"/>
    </row>
    <row r="181" ht="18.75" spans="2:12">
      <c r="B181" s="32"/>
      <c r="C181" s="28"/>
      <c r="D181" s="32"/>
      <c r="E181" s="27"/>
      <c r="F181" s="28"/>
      <c r="G181" s="32"/>
      <c r="H181" s="28"/>
      <c r="I181" s="32"/>
      <c r="J181" s="32"/>
      <c r="K181" s="32"/>
      <c r="L181" s="32"/>
    </row>
    <row r="182" ht="18.75" spans="2:12">
      <c r="B182" s="32"/>
      <c r="C182" s="28"/>
      <c r="D182" s="32"/>
      <c r="E182" s="27"/>
      <c r="F182" s="28"/>
      <c r="G182" s="32"/>
      <c r="H182" s="28"/>
      <c r="I182" s="32"/>
      <c r="J182" s="32"/>
      <c r="K182" s="32"/>
      <c r="L182" s="32"/>
    </row>
    <row r="183" ht="18.75" spans="2:12">
      <c r="B183" s="32"/>
      <c r="C183" s="28"/>
      <c r="D183" s="32"/>
      <c r="E183" s="27"/>
      <c r="F183" s="28"/>
      <c r="G183" s="32"/>
      <c r="H183" s="28"/>
      <c r="I183" s="32"/>
      <c r="J183" s="32"/>
      <c r="K183" s="32"/>
      <c r="L183" s="32"/>
    </row>
    <row r="184" ht="18.75" spans="2:12">
      <c r="B184" s="32"/>
      <c r="C184" s="28"/>
      <c r="D184" s="32"/>
      <c r="E184" s="27"/>
      <c r="F184" s="28"/>
      <c r="G184" s="32"/>
      <c r="H184" s="28"/>
      <c r="I184" s="32"/>
      <c r="J184" s="32"/>
      <c r="K184" s="32"/>
      <c r="L184" s="32"/>
    </row>
    <row r="185" ht="18.75" spans="2:12">
      <c r="B185" s="32"/>
      <c r="C185" s="28"/>
      <c r="D185" s="32"/>
      <c r="E185" s="27"/>
      <c r="F185" s="28"/>
      <c r="G185" s="32"/>
      <c r="H185" s="28"/>
      <c r="I185" s="32"/>
      <c r="J185" s="32"/>
      <c r="K185" s="32"/>
      <c r="L185" s="32"/>
    </row>
    <row r="186" ht="18.75" spans="2:12">
      <c r="B186" s="32"/>
      <c r="C186" s="28"/>
      <c r="D186" s="32"/>
      <c r="E186" s="27"/>
      <c r="F186" s="28"/>
      <c r="G186" s="32"/>
      <c r="H186" s="28"/>
      <c r="I186" s="32"/>
      <c r="J186" s="32"/>
      <c r="K186" s="32"/>
      <c r="L186" s="32"/>
    </row>
    <row r="187" ht="18.75" spans="2:12">
      <c r="B187" s="32"/>
      <c r="C187" s="28"/>
      <c r="D187" s="32"/>
      <c r="E187" s="27"/>
      <c r="F187" s="28"/>
      <c r="G187" s="32"/>
      <c r="H187" s="28"/>
      <c r="I187" s="32"/>
      <c r="J187" s="32"/>
      <c r="K187" s="32"/>
      <c r="L187" s="32"/>
    </row>
    <row r="188" ht="18.75" spans="2:12">
      <c r="B188" s="32"/>
      <c r="C188" s="28"/>
      <c r="D188" s="32"/>
      <c r="E188" s="27"/>
      <c r="F188" s="28"/>
      <c r="G188" s="32"/>
      <c r="H188" s="28"/>
      <c r="I188" s="32"/>
      <c r="J188" s="32"/>
      <c r="K188" s="32"/>
      <c r="L188" s="32"/>
    </row>
    <row r="189" ht="18.75" spans="2:12">
      <c r="B189" s="32"/>
      <c r="C189" s="28"/>
      <c r="D189" s="32"/>
      <c r="E189" s="27"/>
      <c r="F189" s="28"/>
      <c r="G189" s="32"/>
      <c r="H189" s="28"/>
      <c r="I189" s="32"/>
      <c r="J189" s="32"/>
      <c r="K189" s="32"/>
      <c r="L189" s="32"/>
    </row>
    <row r="190" ht="18.75" spans="2:12">
      <c r="B190" s="32"/>
      <c r="C190" s="28"/>
      <c r="D190" s="32"/>
      <c r="E190" s="27"/>
      <c r="F190" s="28"/>
      <c r="G190" s="32"/>
      <c r="H190" s="28"/>
      <c r="I190" s="32"/>
      <c r="J190" s="32"/>
      <c r="K190" s="32"/>
      <c r="L190" s="32"/>
    </row>
    <row r="191" ht="18.75" spans="2:12">
      <c r="B191" s="32"/>
      <c r="C191" s="28"/>
      <c r="D191" s="32"/>
      <c r="E191" s="27"/>
      <c r="F191" s="28"/>
      <c r="G191" s="32"/>
      <c r="H191" s="28"/>
      <c r="I191" s="32"/>
      <c r="J191" s="32"/>
      <c r="K191" s="32"/>
      <c r="L191" s="32"/>
    </row>
    <row r="192" ht="18.75" spans="2:12">
      <c r="B192" s="32"/>
      <c r="C192" s="28"/>
      <c r="D192" s="32"/>
      <c r="E192" s="27"/>
      <c r="F192" s="28"/>
      <c r="G192" s="32"/>
      <c r="H192" s="28"/>
      <c r="I192" s="32"/>
      <c r="J192" s="32"/>
      <c r="K192" s="32"/>
      <c r="L192" s="32"/>
    </row>
    <row r="193" ht="18.75" spans="2:12">
      <c r="B193" s="32"/>
      <c r="C193" s="28"/>
      <c r="D193" s="32"/>
      <c r="E193" s="27"/>
      <c r="F193" s="28"/>
      <c r="G193" s="32"/>
      <c r="H193" s="28"/>
      <c r="I193" s="32"/>
      <c r="J193" s="32"/>
      <c r="K193" s="32"/>
      <c r="L193" s="32"/>
    </row>
    <row r="194" ht="18.75" spans="2:12">
      <c r="B194" s="32"/>
      <c r="C194" s="28"/>
      <c r="D194" s="32"/>
      <c r="E194" s="27"/>
      <c r="F194" s="28"/>
      <c r="G194" s="32"/>
      <c r="H194" s="28"/>
      <c r="I194" s="32"/>
      <c r="J194" s="32"/>
      <c r="K194" s="32"/>
      <c r="L194" s="32"/>
    </row>
    <row r="195" ht="18.75" spans="2:12">
      <c r="B195" s="32"/>
      <c r="C195" s="28"/>
      <c r="D195" s="32"/>
      <c r="E195" s="27"/>
      <c r="F195" s="28"/>
      <c r="G195" s="32"/>
      <c r="H195" s="28"/>
      <c r="I195" s="32"/>
      <c r="J195" s="32"/>
      <c r="K195" s="32"/>
      <c r="L195" s="32"/>
    </row>
    <row r="196" ht="18.75" spans="2:12">
      <c r="B196" s="32"/>
      <c r="C196" s="28"/>
      <c r="D196" s="32"/>
      <c r="E196" s="27"/>
      <c r="F196" s="28"/>
      <c r="G196" s="32"/>
      <c r="H196" s="28"/>
      <c r="I196" s="32"/>
      <c r="J196" s="32"/>
      <c r="K196" s="32"/>
      <c r="L196" s="32"/>
    </row>
    <row r="197" ht="18.75" spans="2:12">
      <c r="B197" s="32"/>
      <c r="C197" s="28"/>
      <c r="D197" s="32"/>
      <c r="E197" s="27"/>
      <c r="F197" s="28"/>
      <c r="G197" s="32"/>
      <c r="H197" s="28"/>
      <c r="I197" s="32"/>
      <c r="J197" s="32"/>
      <c r="K197" s="32"/>
      <c r="L197" s="32"/>
    </row>
    <row r="198" ht="18.75" spans="2:12">
      <c r="B198" s="32"/>
      <c r="C198" s="28"/>
      <c r="D198" s="32"/>
      <c r="E198" s="27"/>
      <c r="F198" s="28"/>
      <c r="G198" s="32"/>
      <c r="H198" s="28"/>
      <c r="I198" s="32"/>
      <c r="J198" s="32"/>
      <c r="K198" s="32"/>
      <c r="L198" s="32"/>
    </row>
    <row r="199" ht="18.75" spans="2:12">
      <c r="B199" s="32"/>
      <c r="C199" s="28"/>
      <c r="D199" s="32"/>
      <c r="E199" s="27"/>
      <c r="F199" s="28"/>
      <c r="G199" s="32"/>
      <c r="H199" s="28"/>
      <c r="I199" s="32"/>
      <c r="J199" s="32"/>
      <c r="K199" s="32"/>
      <c r="L199" s="32"/>
    </row>
    <row r="200" ht="18.75" spans="2:12">
      <c r="B200" s="32"/>
      <c r="C200" s="28"/>
      <c r="D200" s="32"/>
      <c r="E200" s="27"/>
      <c r="F200" s="28"/>
      <c r="G200" s="32"/>
      <c r="H200" s="28"/>
      <c r="I200" s="32"/>
      <c r="J200" s="32"/>
      <c r="K200" s="32"/>
      <c r="L200" s="32"/>
    </row>
    <row r="201" ht="18.75" spans="2:12">
      <c r="B201" s="32"/>
      <c r="C201" s="28"/>
      <c r="D201" s="32"/>
      <c r="E201" s="27"/>
      <c r="F201" s="28"/>
      <c r="G201" s="32"/>
      <c r="H201" s="28"/>
      <c r="I201" s="32"/>
      <c r="J201" s="32"/>
      <c r="K201" s="32"/>
      <c r="L201" s="32"/>
    </row>
    <row r="202" ht="18.75" spans="2:12">
      <c r="B202" s="32"/>
      <c r="C202" s="28"/>
      <c r="D202" s="32"/>
      <c r="E202" s="27"/>
      <c r="F202" s="28"/>
      <c r="G202" s="32"/>
      <c r="H202" s="28"/>
      <c r="I202" s="32"/>
      <c r="J202" s="32"/>
      <c r="K202" s="32"/>
      <c r="L202" s="32"/>
    </row>
    <row r="203" ht="18.75" spans="2:12">
      <c r="B203" s="32"/>
      <c r="C203" s="28"/>
      <c r="D203" s="32"/>
      <c r="E203" s="27"/>
      <c r="F203" s="28"/>
      <c r="G203" s="32"/>
      <c r="H203" s="28"/>
      <c r="I203" s="32"/>
      <c r="J203" s="32"/>
      <c r="K203" s="32"/>
      <c r="L203" s="32"/>
    </row>
    <row r="204" ht="18.75" spans="2:12">
      <c r="B204" s="32"/>
      <c r="C204" s="28"/>
      <c r="D204" s="32"/>
      <c r="E204" s="27"/>
      <c r="F204" s="28"/>
      <c r="G204" s="32"/>
      <c r="H204" s="28"/>
      <c r="I204" s="32"/>
      <c r="J204" s="32"/>
      <c r="K204" s="32"/>
      <c r="L204" s="32"/>
    </row>
    <row r="205" ht="18.75" spans="2:12">
      <c r="B205" s="32"/>
      <c r="C205" s="28"/>
      <c r="D205" s="32"/>
      <c r="E205" s="27"/>
      <c r="F205" s="28"/>
      <c r="G205" s="32"/>
      <c r="H205" s="28"/>
      <c r="I205" s="32"/>
      <c r="J205" s="32"/>
      <c r="K205" s="32"/>
      <c r="L205" s="32"/>
    </row>
    <row r="206" ht="18.75" spans="2:12">
      <c r="B206" s="32"/>
      <c r="C206" s="28"/>
      <c r="D206" s="32"/>
      <c r="E206" s="27"/>
      <c r="F206" s="28"/>
      <c r="G206" s="32"/>
      <c r="H206" s="28"/>
      <c r="I206" s="32"/>
      <c r="J206" s="32"/>
      <c r="K206" s="32"/>
      <c r="L206" s="32"/>
    </row>
    <row r="207" ht="18.75" spans="2:12">
      <c r="B207" s="32"/>
      <c r="C207" s="28"/>
      <c r="D207" s="32"/>
      <c r="E207" s="27"/>
      <c r="F207" s="28"/>
      <c r="G207" s="32"/>
      <c r="H207" s="28"/>
      <c r="I207" s="32"/>
      <c r="J207" s="32"/>
      <c r="K207" s="32"/>
      <c r="L207" s="32"/>
    </row>
    <row r="208" ht="18.75" spans="2:12">
      <c r="B208" s="32"/>
      <c r="C208" s="28"/>
      <c r="D208" s="32"/>
      <c r="E208" s="27"/>
      <c r="F208" s="28"/>
      <c r="G208" s="32"/>
      <c r="H208" s="28"/>
      <c r="I208" s="32"/>
      <c r="J208" s="32"/>
      <c r="K208" s="32"/>
      <c r="L208" s="32"/>
    </row>
    <row r="209" ht="18.75" spans="2:12">
      <c r="B209" s="32"/>
      <c r="C209" s="28"/>
      <c r="D209" s="32"/>
      <c r="E209" s="27"/>
      <c r="F209" s="28"/>
      <c r="G209" s="32"/>
      <c r="H209" s="28"/>
      <c r="I209" s="32"/>
      <c r="J209" s="32"/>
      <c r="K209" s="32"/>
      <c r="L209" s="32"/>
    </row>
    <row r="210" ht="18.75" spans="2:12">
      <c r="B210" s="32"/>
      <c r="C210" s="28"/>
      <c r="D210" s="32"/>
      <c r="E210" s="27"/>
      <c r="F210" s="28"/>
      <c r="G210" s="32"/>
      <c r="H210" s="28"/>
      <c r="I210" s="32"/>
      <c r="J210" s="32"/>
      <c r="K210" s="32"/>
      <c r="L210" s="32"/>
    </row>
    <row r="211" ht="18.75" spans="2:12">
      <c r="B211" s="32"/>
      <c r="C211" s="28"/>
      <c r="D211" s="32"/>
      <c r="E211" s="27"/>
      <c r="F211" s="28"/>
      <c r="G211" s="32"/>
      <c r="H211" s="28"/>
      <c r="I211" s="32"/>
      <c r="J211" s="32"/>
      <c r="K211" s="32"/>
      <c r="L211" s="32"/>
    </row>
    <row r="212" ht="18.75" spans="2:12">
      <c r="B212" s="32"/>
      <c r="C212" s="28"/>
      <c r="D212" s="32"/>
      <c r="E212" s="27"/>
      <c r="F212" s="28"/>
      <c r="G212" s="32"/>
      <c r="H212" s="28"/>
      <c r="I212" s="32"/>
      <c r="J212" s="32"/>
      <c r="K212" s="32"/>
      <c r="L212" s="32"/>
    </row>
    <row r="213" ht="18.75" spans="2:12">
      <c r="B213" s="32"/>
      <c r="C213" s="28"/>
      <c r="D213" s="32"/>
      <c r="E213" s="27"/>
      <c r="F213" s="28"/>
      <c r="G213" s="32"/>
      <c r="H213" s="28"/>
      <c r="I213" s="32"/>
      <c r="J213" s="32"/>
      <c r="K213" s="32"/>
      <c r="L213" s="32"/>
    </row>
    <row r="214" ht="18.75" spans="2:12">
      <c r="B214" s="32"/>
      <c r="C214" s="28"/>
      <c r="D214" s="32"/>
      <c r="E214" s="27"/>
      <c r="F214" s="28"/>
      <c r="G214" s="32"/>
      <c r="H214" s="28"/>
      <c r="I214" s="32"/>
      <c r="J214" s="32"/>
      <c r="K214" s="32"/>
      <c r="L214" s="32"/>
    </row>
    <row r="215" ht="18.75" spans="2:12">
      <c r="B215" s="32"/>
      <c r="C215" s="28"/>
      <c r="D215" s="32"/>
      <c r="E215" s="27"/>
      <c r="F215" s="28"/>
      <c r="G215" s="32"/>
      <c r="H215" s="28"/>
      <c r="I215" s="32"/>
      <c r="J215" s="32"/>
      <c r="K215" s="32"/>
      <c r="L215" s="32"/>
    </row>
    <row r="216" ht="18.75" spans="2:12">
      <c r="B216" s="32"/>
      <c r="C216" s="28"/>
      <c r="D216" s="32"/>
      <c r="E216" s="27"/>
      <c r="F216" s="28"/>
      <c r="G216" s="32"/>
      <c r="H216" s="28"/>
      <c r="I216" s="32"/>
      <c r="J216" s="32"/>
      <c r="K216" s="32"/>
      <c r="L216" s="32"/>
    </row>
    <row r="217" ht="18.75" spans="2:12">
      <c r="B217" s="32"/>
      <c r="C217" s="28"/>
      <c r="D217" s="32"/>
      <c r="E217" s="27"/>
      <c r="F217" s="28"/>
      <c r="G217" s="32"/>
      <c r="H217" s="28"/>
      <c r="I217" s="32"/>
      <c r="J217" s="32"/>
      <c r="K217" s="32"/>
      <c r="L217" s="32"/>
    </row>
    <row r="218" ht="18.75" spans="2:12">
      <c r="B218" s="32"/>
      <c r="C218" s="28"/>
      <c r="D218" s="32"/>
      <c r="E218" s="27"/>
      <c r="F218" s="28"/>
      <c r="G218" s="32"/>
      <c r="H218" s="28"/>
      <c r="I218" s="32"/>
      <c r="J218" s="32"/>
      <c r="K218" s="32"/>
      <c r="L218" s="32"/>
    </row>
  </sheetData>
  <mergeCells count="1">
    <mergeCell ref="B1:L1"/>
  </mergeCells>
  <dataValidations count="1">
    <dataValidation allowBlank="1" showErrorMessage="1" sqref="I1 I2:J2" errorStyle="information"/>
  </dataValidations>
  <pageMargins left="0.751968503937008" right="0.751968503937008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7"/>
  <sheetViews>
    <sheetView zoomScale="70" zoomScaleNormal="70" workbookViewId="0">
      <selection activeCell="H23" sqref="H23"/>
    </sheetView>
  </sheetViews>
  <sheetFormatPr defaultColWidth="9" defaultRowHeight="13.5" outlineLevelRow="6"/>
  <cols>
    <col min="1" max="1" width="30.125" customWidth="1"/>
    <col min="2" max="2" width="47.875" customWidth="1"/>
    <col min="3" max="3" width="25.125" customWidth="1"/>
    <col min="4" max="4" width="10.875" customWidth="1"/>
    <col min="5" max="5" width="5.875" customWidth="1"/>
    <col min="6" max="6" width="13.375" customWidth="1"/>
    <col min="7" max="8" width="10.875" customWidth="1"/>
    <col min="9" max="9" width="8.375" customWidth="1"/>
    <col min="10" max="10" width="57.625" customWidth="1"/>
    <col min="11" max="11" width="69.725" customWidth="1"/>
  </cols>
  <sheetData>
    <row r="2" s="17" customFormat="1" ht="35.25" spans="1:11">
      <c r="A2" s="18" t="s">
        <v>1949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="17" customFormat="1" ht="18.75" spans="1:11">
      <c r="A3" s="21" t="s">
        <v>1950</v>
      </c>
      <c r="B3" s="22" t="s">
        <v>96</v>
      </c>
      <c r="C3" s="22" t="s">
        <v>97</v>
      </c>
      <c r="D3" s="21" t="s">
        <v>98</v>
      </c>
      <c r="E3" s="21" t="s">
        <v>99</v>
      </c>
      <c r="F3" s="21" t="s">
        <v>1951</v>
      </c>
      <c r="G3" s="21" t="s">
        <v>100</v>
      </c>
      <c r="H3" s="21" t="s">
        <v>102</v>
      </c>
      <c r="I3" s="21" t="s">
        <v>103</v>
      </c>
      <c r="J3" s="23" t="s">
        <v>104</v>
      </c>
      <c r="K3" s="24" t="s">
        <v>105</v>
      </c>
    </row>
    <row r="4" ht="18.75" spans="1:11">
      <c r="A4" s="25">
        <v>114</v>
      </c>
      <c r="B4" s="26" t="s">
        <v>1016</v>
      </c>
      <c r="C4" s="27" t="s">
        <v>1017</v>
      </c>
      <c r="D4" s="28" t="s">
        <v>164</v>
      </c>
      <c r="E4" s="27"/>
      <c r="F4" s="25">
        <v>1</v>
      </c>
      <c r="G4" s="28" t="s">
        <v>114</v>
      </c>
      <c r="H4" s="27"/>
      <c r="I4" s="27"/>
      <c r="J4" s="29" t="s">
        <v>1952</v>
      </c>
      <c r="K4" s="30"/>
    </row>
    <row r="5" s="17" customFormat="1" ht="18.75" spans="1:11">
      <c r="A5" s="25">
        <v>115</v>
      </c>
      <c r="B5" s="26" t="s">
        <v>1018</v>
      </c>
      <c r="C5" s="27" t="s">
        <v>1953</v>
      </c>
      <c r="D5" s="28" t="s">
        <v>164</v>
      </c>
      <c r="E5" s="27"/>
      <c r="F5" s="25">
        <v>1</v>
      </c>
      <c r="G5" s="28" t="s">
        <v>114</v>
      </c>
      <c r="H5" s="27"/>
      <c r="I5" s="27"/>
      <c r="J5" s="29" t="s">
        <v>1952</v>
      </c>
      <c r="K5" s="27"/>
    </row>
    <row r="6" s="17" customFormat="1" ht="18.75" spans="1:11">
      <c r="A6" s="25">
        <v>116</v>
      </c>
      <c r="B6" s="26" t="s">
        <v>250</v>
      </c>
      <c r="C6" s="27" t="s">
        <v>1954</v>
      </c>
      <c r="D6" s="28" t="s">
        <v>164</v>
      </c>
      <c r="E6" s="27"/>
      <c r="F6" s="25">
        <v>1</v>
      </c>
      <c r="G6" s="28" t="s">
        <v>114</v>
      </c>
      <c r="H6" s="27"/>
      <c r="I6" s="27"/>
      <c r="J6" s="29" t="s">
        <v>1955</v>
      </c>
      <c r="K6" s="27"/>
    </row>
    <row r="7" s="17" customFormat="1" ht="18.75" spans="1:11">
      <c r="A7" s="25">
        <v>117</v>
      </c>
      <c r="B7" s="26" t="s">
        <v>1956</v>
      </c>
      <c r="C7" s="27" t="s">
        <v>1957</v>
      </c>
      <c r="D7" s="28" t="s">
        <v>164</v>
      </c>
      <c r="E7" s="27"/>
      <c r="F7" s="25">
        <v>1</v>
      </c>
      <c r="G7" s="28" t="s">
        <v>114</v>
      </c>
      <c r="H7" s="27"/>
      <c r="I7" s="27"/>
      <c r="J7" s="29"/>
      <c r="K7" s="27"/>
    </row>
  </sheetData>
  <mergeCells count="1">
    <mergeCell ref="A2:K2"/>
  </mergeCells>
  <dataValidations count="1">
    <dataValidation allowBlank="1" showErrorMessage="1" sqref="H2 H3:I3 H4:H7" errorStyle="information"/>
  </dataValidations>
  <pageMargins left="0.751968503937008" right="0.751968503937008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E195"/>
  <sheetViews>
    <sheetView zoomScale="90" zoomScaleNormal="90" workbookViewId="0">
      <selection activeCell="D100" sqref="D100:D115"/>
    </sheetView>
  </sheetViews>
  <sheetFormatPr defaultColWidth="9" defaultRowHeight="13.5" outlineLevelCol="4"/>
  <cols>
    <col min="1" max="1" width="9" style="1"/>
    <col min="2" max="2" width="75.2583333333333" style="1" customWidth="1"/>
    <col min="3" max="3" width="61.375" style="1" customWidth="1"/>
    <col min="4" max="4" width="11.7583333333333" style="1" customWidth="1"/>
    <col min="5" max="5" width="25.125" style="1" customWidth="1"/>
    <col min="6" max="16384" width="9" style="1"/>
  </cols>
  <sheetData>
    <row r="1" ht="14.25"/>
    <row r="2" ht="14.25" spans="2:5">
      <c r="B2" s="2" t="s">
        <v>1958</v>
      </c>
      <c r="C2" s="3"/>
    </row>
    <row r="3" ht="14.25" spans="2:5">
      <c r="B3" s="4" t="s">
        <v>1959</v>
      </c>
      <c r="C3" s="5" t="s">
        <v>1960</v>
      </c>
      <c r="D3" s="6" t="s">
        <v>1961</v>
      </c>
      <c r="E3" s="6" t="s">
        <v>1962</v>
      </c>
    </row>
    <row r="4" ht="14.25" spans="2:5">
      <c r="B4" s="7" t="s">
        <v>1963</v>
      </c>
      <c r="C4" s="8" t="s">
        <v>1964</v>
      </c>
      <c r="D4" s="9" t="s">
        <v>1282</v>
      </c>
      <c r="E4" s="6">
        <v>0</v>
      </c>
    </row>
    <row r="5" ht="14.25" spans="2:5">
      <c r="B5" s="7" t="s">
        <v>1965</v>
      </c>
      <c r="C5" s="6" t="s">
        <v>1966</v>
      </c>
      <c r="D5" s="10"/>
      <c r="E5" s="6">
        <v>1</v>
      </c>
    </row>
    <row r="6" ht="14.25" spans="2:5">
      <c r="B6" s="7" t="s">
        <v>1967</v>
      </c>
      <c r="C6" s="6" t="s">
        <v>1968</v>
      </c>
      <c r="D6" s="10"/>
      <c r="E6" s="6">
        <v>2</v>
      </c>
    </row>
    <row r="7" ht="14.25" spans="2:5">
      <c r="B7" s="7" t="s">
        <v>1969</v>
      </c>
      <c r="C7" s="6" t="s">
        <v>1970</v>
      </c>
      <c r="D7" s="10"/>
      <c r="E7" s="6">
        <v>3</v>
      </c>
    </row>
    <row r="8" ht="14.25" spans="2:5">
      <c r="B8" s="7" t="s">
        <v>1971</v>
      </c>
      <c r="C8" s="6" t="s">
        <v>1972</v>
      </c>
      <c r="D8" s="10"/>
      <c r="E8" s="6">
        <v>4</v>
      </c>
    </row>
    <row r="9" ht="14.25" spans="2:5">
      <c r="B9" s="7" t="s">
        <v>1973</v>
      </c>
      <c r="C9" s="6" t="s">
        <v>1974</v>
      </c>
      <c r="D9" s="10"/>
      <c r="E9" s="6">
        <v>5</v>
      </c>
    </row>
    <row r="10" ht="14.25" spans="2:5">
      <c r="B10" s="7" t="s">
        <v>1975</v>
      </c>
      <c r="C10" s="6" t="s">
        <v>1976</v>
      </c>
      <c r="D10" s="10"/>
      <c r="E10" s="6">
        <v>6</v>
      </c>
    </row>
    <row r="11" ht="14.25" spans="2:5">
      <c r="B11" s="7" t="s">
        <v>1977</v>
      </c>
      <c r="C11" s="6" t="s">
        <v>1978</v>
      </c>
      <c r="D11" s="10"/>
      <c r="E11" s="6">
        <v>7</v>
      </c>
    </row>
    <row r="12" ht="14.25" spans="2:5">
      <c r="B12" s="7" t="s">
        <v>1979</v>
      </c>
      <c r="C12" s="6" t="s">
        <v>1980</v>
      </c>
      <c r="D12" s="10"/>
      <c r="E12" s="6">
        <v>8</v>
      </c>
    </row>
    <row r="13" ht="14.25" spans="2:5">
      <c r="B13" s="7" t="s">
        <v>1981</v>
      </c>
      <c r="C13" s="6" t="s">
        <v>1982</v>
      </c>
      <c r="D13" s="10"/>
      <c r="E13" s="6">
        <v>9</v>
      </c>
    </row>
    <row r="14" ht="14.25" spans="2:5">
      <c r="B14" s="7" t="s">
        <v>1983</v>
      </c>
      <c r="C14" s="6" t="s">
        <v>1984</v>
      </c>
      <c r="D14" s="10"/>
      <c r="E14" s="6">
        <v>10</v>
      </c>
    </row>
    <row r="15" ht="14.25" spans="2:5">
      <c r="B15" s="7" t="s">
        <v>1985</v>
      </c>
      <c r="C15" s="6" t="s">
        <v>1986</v>
      </c>
      <c r="D15" s="10"/>
      <c r="E15" s="6">
        <v>11</v>
      </c>
    </row>
    <row r="16" ht="14.25" spans="2:5">
      <c r="B16" s="7" t="s">
        <v>1987</v>
      </c>
      <c r="C16" s="6" t="s">
        <v>1988</v>
      </c>
      <c r="D16" s="10"/>
      <c r="E16" s="6">
        <v>12</v>
      </c>
    </row>
    <row r="17" ht="14.25" spans="2:5">
      <c r="B17" s="7" t="s">
        <v>1989</v>
      </c>
      <c r="C17" s="6" t="s">
        <v>1990</v>
      </c>
      <c r="D17" s="10"/>
      <c r="E17" s="6">
        <v>13</v>
      </c>
    </row>
    <row r="18" ht="14.25" spans="2:5">
      <c r="B18" s="7" t="s">
        <v>1991</v>
      </c>
      <c r="C18" s="6" t="s">
        <v>1992</v>
      </c>
      <c r="D18" s="10"/>
      <c r="E18" s="6">
        <v>14</v>
      </c>
    </row>
    <row r="19" ht="14.25" spans="2:5">
      <c r="B19" s="7" t="s">
        <v>1993</v>
      </c>
      <c r="C19" s="6" t="s">
        <v>1994</v>
      </c>
      <c r="D19" s="11"/>
      <c r="E19" s="6">
        <v>15</v>
      </c>
    </row>
    <row r="20" ht="14.25" spans="2:5">
      <c r="B20" s="7" t="s">
        <v>1995</v>
      </c>
      <c r="C20" s="6" t="s">
        <v>1996</v>
      </c>
      <c r="D20" s="9" t="s">
        <v>1283</v>
      </c>
      <c r="E20" s="6">
        <v>0</v>
      </c>
    </row>
    <row r="21" ht="14.25" spans="2:5">
      <c r="B21" s="7" t="s">
        <v>1997</v>
      </c>
      <c r="C21" s="6" t="s">
        <v>1998</v>
      </c>
      <c r="D21" s="10"/>
      <c r="E21" s="6">
        <v>1</v>
      </c>
    </row>
    <row r="22" ht="14.25" spans="2:5">
      <c r="B22" s="7" t="s">
        <v>1999</v>
      </c>
      <c r="C22" s="6" t="s">
        <v>2000</v>
      </c>
      <c r="D22" s="10"/>
      <c r="E22" s="6">
        <v>2</v>
      </c>
    </row>
    <row r="23" ht="14.25" spans="2:5">
      <c r="B23" s="7" t="s">
        <v>2001</v>
      </c>
      <c r="C23" s="6" t="s">
        <v>2002</v>
      </c>
      <c r="D23" s="10"/>
      <c r="E23" s="6">
        <v>3</v>
      </c>
    </row>
    <row r="24" ht="14.25" spans="2:5">
      <c r="B24" s="7" t="s">
        <v>2003</v>
      </c>
      <c r="C24" s="6" t="s">
        <v>2004</v>
      </c>
      <c r="D24" s="10"/>
      <c r="E24" s="6">
        <v>4</v>
      </c>
    </row>
    <row r="25" ht="14.25" spans="2:5">
      <c r="B25" s="7" t="s">
        <v>2005</v>
      </c>
      <c r="C25" s="6" t="s">
        <v>2006</v>
      </c>
      <c r="D25" s="10"/>
      <c r="E25" s="6">
        <v>5</v>
      </c>
    </row>
    <row r="26" ht="14.25" spans="2:5">
      <c r="B26" s="7" t="s">
        <v>2007</v>
      </c>
      <c r="C26" s="6" t="s">
        <v>2008</v>
      </c>
      <c r="D26" s="10"/>
      <c r="E26" s="6">
        <v>6</v>
      </c>
    </row>
    <row r="27" ht="14.25" spans="2:5">
      <c r="B27" s="7" t="s">
        <v>2009</v>
      </c>
      <c r="C27" s="6" t="s">
        <v>2010</v>
      </c>
      <c r="D27" s="10"/>
      <c r="E27" s="6">
        <v>7</v>
      </c>
    </row>
    <row r="28" ht="14.25" spans="2:5">
      <c r="B28" s="7" t="s">
        <v>2011</v>
      </c>
      <c r="C28" s="6" t="s">
        <v>2012</v>
      </c>
      <c r="D28" s="10"/>
      <c r="E28" s="6">
        <v>8</v>
      </c>
    </row>
    <row r="29" ht="14.25" spans="2:5">
      <c r="B29" s="7" t="s">
        <v>2013</v>
      </c>
      <c r="C29" s="6" t="s">
        <v>2014</v>
      </c>
      <c r="D29" s="10"/>
      <c r="E29" s="6">
        <v>9</v>
      </c>
    </row>
    <row r="30" ht="14.25" spans="2:5">
      <c r="B30" s="7" t="s">
        <v>2015</v>
      </c>
      <c r="C30" s="6" t="s">
        <v>2016</v>
      </c>
      <c r="D30" s="10"/>
      <c r="E30" s="6">
        <v>10</v>
      </c>
    </row>
    <row r="31" ht="14.25" spans="2:5">
      <c r="B31" s="7" t="s">
        <v>2017</v>
      </c>
      <c r="C31" s="6" t="s">
        <v>2018</v>
      </c>
      <c r="D31" s="10"/>
      <c r="E31" s="6">
        <v>11</v>
      </c>
    </row>
    <row r="32" ht="14.25" spans="2:5">
      <c r="B32" s="7" t="s">
        <v>2019</v>
      </c>
      <c r="C32" s="6" t="s">
        <v>2020</v>
      </c>
      <c r="D32" s="10"/>
      <c r="E32" s="6">
        <v>12</v>
      </c>
    </row>
    <row r="33" ht="14.25" spans="2:5">
      <c r="B33" s="7" t="s">
        <v>2021</v>
      </c>
      <c r="C33" s="6" t="s">
        <v>2022</v>
      </c>
      <c r="D33" s="10"/>
      <c r="E33" s="6">
        <v>13</v>
      </c>
    </row>
    <row r="34" ht="14.25" spans="2:5">
      <c r="B34" s="7" t="s">
        <v>2023</v>
      </c>
      <c r="C34" s="6" t="s">
        <v>2024</v>
      </c>
      <c r="D34" s="10"/>
      <c r="E34" s="6">
        <v>14</v>
      </c>
    </row>
    <row r="35" ht="14.25" spans="2:5">
      <c r="B35" s="7" t="s">
        <v>2025</v>
      </c>
      <c r="C35" s="6" t="s">
        <v>2026</v>
      </c>
      <c r="D35" s="11"/>
      <c r="E35" s="6">
        <v>15</v>
      </c>
    </row>
    <row r="36" ht="14.25" spans="2:5">
      <c r="B36" s="7" t="s">
        <v>2027</v>
      </c>
      <c r="C36" s="6" t="s">
        <v>2028</v>
      </c>
      <c r="D36" s="9" t="s">
        <v>1284</v>
      </c>
      <c r="E36" s="6">
        <v>0</v>
      </c>
    </row>
    <row r="37" ht="14.25" spans="2:5">
      <c r="B37" s="7" t="s">
        <v>2029</v>
      </c>
      <c r="C37" s="6" t="s">
        <v>2030</v>
      </c>
      <c r="D37" s="10"/>
      <c r="E37" s="6">
        <v>1</v>
      </c>
    </row>
    <row r="38" ht="14.25" spans="2:5">
      <c r="B38" s="7" t="s">
        <v>2031</v>
      </c>
      <c r="C38" s="6" t="s">
        <v>2032</v>
      </c>
      <c r="D38" s="10"/>
      <c r="E38" s="6">
        <v>2</v>
      </c>
    </row>
    <row r="39" ht="14.25" spans="2:5">
      <c r="B39" s="7" t="s">
        <v>2033</v>
      </c>
      <c r="C39" s="6" t="s">
        <v>2034</v>
      </c>
      <c r="D39" s="10"/>
      <c r="E39" s="6">
        <v>3</v>
      </c>
    </row>
    <row r="40" ht="14.25" spans="2:5">
      <c r="B40" s="7" t="s">
        <v>2035</v>
      </c>
      <c r="C40" s="6" t="s">
        <v>2036</v>
      </c>
      <c r="D40" s="10"/>
      <c r="E40" s="6">
        <v>4</v>
      </c>
    </row>
    <row r="41" ht="14.25" spans="2:5">
      <c r="B41" s="7" t="s">
        <v>2037</v>
      </c>
      <c r="C41" s="6" t="s">
        <v>2038</v>
      </c>
      <c r="D41" s="10"/>
      <c r="E41" s="6">
        <v>5</v>
      </c>
    </row>
    <row r="42" ht="14.25" spans="2:5">
      <c r="B42" s="7" t="s">
        <v>2039</v>
      </c>
      <c r="C42" s="6" t="s">
        <v>2040</v>
      </c>
      <c r="D42" s="10"/>
      <c r="E42" s="6">
        <v>6</v>
      </c>
    </row>
    <row r="43" ht="14.25" spans="2:5">
      <c r="B43" s="7" t="s">
        <v>2041</v>
      </c>
      <c r="C43" s="6" t="s">
        <v>2042</v>
      </c>
      <c r="D43" s="10"/>
      <c r="E43" s="6">
        <v>7</v>
      </c>
    </row>
    <row r="44" ht="14.25" spans="2:5">
      <c r="B44" s="7" t="s">
        <v>2043</v>
      </c>
      <c r="C44" s="6" t="s">
        <v>2044</v>
      </c>
      <c r="D44" s="10"/>
      <c r="E44" s="6">
        <v>8</v>
      </c>
    </row>
    <row r="45" ht="14.25" spans="2:5">
      <c r="B45" s="7" t="s">
        <v>2045</v>
      </c>
      <c r="C45" s="6" t="s">
        <v>2046</v>
      </c>
      <c r="D45" s="10"/>
      <c r="E45" s="6">
        <v>9</v>
      </c>
    </row>
    <row r="46" ht="14.25" spans="2:5">
      <c r="B46" s="7" t="s">
        <v>2047</v>
      </c>
      <c r="C46" s="6" t="s">
        <v>2048</v>
      </c>
      <c r="D46" s="10"/>
      <c r="E46" s="6">
        <v>10</v>
      </c>
    </row>
    <row r="47" ht="14.25" spans="2:5">
      <c r="B47" s="7" t="s">
        <v>2049</v>
      </c>
      <c r="C47" s="6" t="s">
        <v>2050</v>
      </c>
      <c r="D47" s="10"/>
      <c r="E47" s="6">
        <v>11</v>
      </c>
    </row>
    <row r="48" ht="14.25" spans="2:5">
      <c r="B48" s="7" t="s">
        <v>2051</v>
      </c>
      <c r="C48" s="6" t="s">
        <v>2052</v>
      </c>
      <c r="D48" s="10"/>
      <c r="E48" s="6">
        <v>12</v>
      </c>
    </row>
    <row r="49" ht="14.25" spans="2:5">
      <c r="B49" s="7" t="s">
        <v>2053</v>
      </c>
      <c r="C49" s="6" t="s">
        <v>2054</v>
      </c>
      <c r="D49" s="10"/>
      <c r="E49" s="6">
        <v>13</v>
      </c>
    </row>
    <row r="50" ht="14.25" spans="2:5">
      <c r="B50" s="7" t="s">
        <v>2055</v>
      </c>
      <c r="C50" s="6" t="s">
        <v>2056</v>
      </c>
      <c r="D50" s="10"/>
      <c r="E50" s="6">
        <v>14</v>
      </c>
    </row>
    <row r="51" ht="14.25" spans="2:5">
      <c r="B51" s="7" t="s">
        <v>2057</v>
      </c>
      <c r="C51" s="6" t="s">
        <v>2058</v>
      </c>
      <c r="D51" s="11"/>
      <c r="E51" s="6">
        <v>15</v>
      </c>
    </row>
    <row r="52" ht="14.25" spans="2:5">
      <c r="B52" s="7" t="s">
        <v>2059</v>
      </c>
      <c r="C52" s="6" t="s">
        <v>2060</v>
      </c>
      <c r="D52" s="9" t="s">
        <v>1285</v>
      </c>
      <c r="E52" s="6">
        <v>0</v>
      </c>
    </row>
    <row r="53" ht="14.25" spans="2:5">
      <c r="B53" s="7" t="s">
        <v>2061</v>
      </c>
      <c r="C53" s="6" t="s">
        <v>2062</v>
      </c>
      <c r="D53" s="10"/>
      <c r="E53" s="6">
        <v>1</v>
      </c>
    </row>
    <row r="54" ht="14.25" spans="2:5">
      <c r="B54" s="7" t="s">
        <v>2063</v>
      </c>
      <c r="C54" s="6" t="s">
        <v>2064</v>
      </c>
      <c r="D54" s="10"/>
      <c r="E54" s="6">
        <v>2</v>
      </c>
    </row>
    <row r="55" ht="14.25" spans="2:5">
      <c r="B55" s="7" t="s">
        <v>2065</v>
      </c>
      <c r="C55" s="6" t="s">
        <v>2066</v>
      </c>
      <c r="D55" s="10"/>
      <c r="E55" s="6">
        <v>3</v>
      </c>
    </row>
    <row r="56" ht="14.25" spans="2:5">
      <c r="B56" s="7" t="s">
        <v>2067</v>
      </c>
      <c r="C56" s="6" t="s">
        <v>2068</v>
      </c>
      <c r="D56" s="10"/>
      <c r="E56" s="6">
        <v>4</v>
      </c>
    </row>
    <row r="57" ht="14.25" spans="2:5">
      <c r="B57" s="7" t="s">
        <v>2069</v>
      </c>
      <c r="C57" s="6" t="s">
        <v>2070</v>
      </c>
      <c r="D57" s="10"/>
      <c r="E57" s="6">
        <v>5</v>
      </c>
    </row>
    <row r="58" ht="14.25" spans="2:5">
      <c r="B58" s="7" t="s">
        <v>2071</v>
      </c>
      <c r="C58" s="6" t="s">
        <v>2072</v>
      </c>
      <c r="D58" s="10"/>
      <c r="E58" s="6">
        <v>6</v>
      </c>
    </row>
    <row r="59" ht="14.25" spans="2:5">
      <c r="B59" s="7" t="s">
        <v>2073</v>
      </c>
      <c r="C59" s="6" t="s">
        <v>2074</v>
      </c>
      <c r="D59" s="10"/>
      <c r="E59" s="6">
        <v>7</v>
      </c>
    </row>
    <row r="60" ht="14.25" spans="2:5">
      <c r="B60" s="7" t="s">
        <v>2075</v>
      </c>
      <c r="C60" s="6" t="s">
        <v>2076</v>
      </c>
      <c r="D60" s="10"/>
      <c r="E60" s="6">
        <v>8</v>
      </c>
    </row>
    <row r="61" ht="14.25" spans="2:5">
      <c r="B61" s="7" t="s">
        <v>2077</v>
      </c>
      <c r="C61" s="6" t="s">
        <v>2078</v>
      </c>
      <c r="D61" s="10"/>
      <c r="E61" s="6">
        <v>9</v>
      </c>
    </row>
    <row r="62" ht="14.25" spans="2:5">
      <c r="B62" s="7" t="s">
        <v>2079</v>
      </c>
      <c r="C62" s="6" t="s">
        <v>2080</v>
      </c>
      <c r="D62" s="10"/>
      <c r="E62" s="6">
        <v>10</v>
      </c>
    </row>
    <row r="63" ht="14.25" spans="2:5">
      <c r="B63" s="7" t="s">
        <v>2081</v>
      </c>
      <c r="C63" s="6" t="s">
        <v>2082</v>
      </c>
      <c r="D63" s="10"/>
      <c r="E63" s="6">
        <v>11</v>
      </c>
    </row>
    <row r="64" ht="14.25" spans="2:5">
      <c r="B64" s="7" t="s">
        <v>2083</v>
      </c>
      <c r="C64" s="6" t="s">
        <v>2084</v>
      </c>
      <c r="D64" s="10"/>
      <c r="E64" s="6">
        <v>12</v>
      </c>
    </row>
    <row r="65" ht="14.25" spans="2:5">
      <c r="B65" s="7" t="s">
        <v>2085</v>
      </c>
      <c r="C65" s="6" t="s">
        <v>2086</v>
      </c>
      <c r="D65" s="10"/>
      <c r="E65" s="6">
        <v>13</v>
      </c>
    </row>
    <row r="66" ht="14.25" spans="2:5">
      <c r="B66" s="7" t="s">
        <v>2087</v>
      </c>
      <c r="C66" s="6" t="s">
        <v>2088</v>
      </c>
      <c r="D66" s="10"/>
      <c r="E66" s="6">
        <v>14</v>
      </c>
    </row>
    <row r="67" ht="15" spans="2:5">
      <c r="B67" s="12" t="s">
        <v>2089</v>
      </c>
      <c r="C67" s="13" t="s">
        <v>2090</v>
      </c>
      <c r="D67" s="11"/>
      <c r="E67" s="6">
        <v>15</v>
      </c>
    </row>
    <row r="68" ht="15" spans="2:5">
      <c r="B68" s="12" t="s">
        <v>2091</v>
      </c>
      <c r="C68" s="12" t="s">
        <v>1964</v>
      </c>
      <c r="D68" s="14" t="s">
        <v>1691</v>
      </c>
      <c r="E68" s="12">
        <v>0</v>
      </c>
    </row>
    <row r="69" ht="15" spans="2:5">
      <c r="B69" s="12" t="s">
        <v>2092</v>
      </c>
      <c r="C69" s="12" t="s">
        <v>1966</v>
      </c>
      <c r="D69" s="15"/>
      <c r="E69" s="12">
        <v>1</v>
      </c>
    </row>
    <row r="70" ht="15" spans="2:5">
      <c r="B70" s="12" t="s">
        <v>2093</v>
      </c>
      <c r="C70" s="12" t="s">
        <v>2094</v>
      </c>
      <c r="D70" s="15"/>
      <c r="E70" s="12">
        <v>2</v>
      </c>
    </row>
    <row r="71" ht="15" spans="2:5">
      <c r="B71" s="12" t="s">
        <v>2095</v>
      </c>
      <c r="C71" s="12" t="s">
        <v>2096</v>
      </c>
      <c r="D71" s="15"/>
      <c r="E71" s="12">
        <v>3</v>
      </c>
    </row>
    <row r="72" ht="15" spans="2:5">
      <c r="B72" s="12" t="s">
        <v>2097</v>
      </c>
      <c r="C72" s="12" t="s">
        <v>1972</v>
      </c>
      <c r="D72" s="15"/>
      <c r="E72" s="12">
        <v>4</v>
      </c>
    </row>
    <row r="73" ht="15" spans="2:5">
      <c r="B73" s="12" t="s">
        <v>2098</v>
      </c>
      <c r="C73" s="12" t="s">
        <v>1974</v>
      </c>
      <c r="D73" s="15"/>
      <c r="E73" s="12">
        <v>5</v>
      </c>
    </row>
    <row r="74" ht="15" spans="2:5">
      <c r="B74" s="12" t="s">
        <v>2099</v>
      </c>
      <c r="C74" s="12" t="s">
        <v>1976</v>
      </c>
      <c r="D74" s="15"/>
      <c r="E74" s="12">
        <v>6</v>
      </c>
    </row>
    <row r="75" ht="15" spans="2:5">
      <c r="B75" s="12" t="s">
        <v>2100</v>
      </c>
      <c r="C75" s="12" t="s">
        <v>2101</v>
      </c>
      <c r="D75" s="15"/>
      <c r="E75" s="12">
        <v>7</v>
      </c>
    </row>
    <row r="76" ht="15" spans="2:5">
      <c r="B76" s="12" t="s">
        <v>2102</v>
      </c>
      <c r="C76" s="12" t="s">
        <v>2103</v>
      </c>
      <c r="D76" s="15"/>
      <c r="E76" s="12">
        <v>8</v>
      </c>
    </row>
    <row r="77" ht="29.25" spans="2:5">
      <c r="B77" s="12" t="s">
        <v>2104</v>
      </c>
      <c r="C77" s="12" t="s">
        <v>1982</v>
      </c>
      <c r="D77" s="15"/>
      <c r="E77" s="12">
        <v>9</v>
      </c>
    </row>
    <row r="78" ht="15" spans="2:5">
      <c r="B78" s="12" t="s">
        <v>2105</v>
      </c>
      <c r="C78" s="12" t="s">
        <v>1984</v>
      </c>
      <c r="D78" s="15"/>
      <c r="E78" s="12">
        <v>10</v>
      </c>
    </row>
    <row r="79" ht="15" spans="2:5">
      <c r="B79" s="12" t="s">
        <v>2106</v>
      </c>
      <c r="C79" s="12" t="s">
        <v>1986</v>
      </c>
      <c r="D79" s="15"/>
      <c r="E79" s="12">
        <v>11</v>
      </c>
    </row>
    <row r="80" ht="15" spans="2:5">
      <c r="B80" s="12" t="s">
        <v>2107</v>
      </c>
      <c r="C80" s="12" t="s">
        <v>1988</v>
      </c>
      <c r="D80" s="15"/>
      <c r="E80" s="12">
        <v>12</v>
      </c>
    </row>
    <row r="81" ht="15" spans="2:5">
      <c r="B81" s="12" t="s">
        <v>2108</v>
      </c>
      <c r="C81" s="12" t="s">
        <v>2109</v>
      </c>
      <c r="D81" s="15"/>
      <c r="E81" s="12">
        <v>13</v>
      </c>
    </row>
    <row r="82" ht="15" spans="2:5">
      <c r="B82" s="12" t="s">
        <v>2110</v>
      </c>
      <c r="C82" s="12" t="s">
        <v>1992</v>
      </c>
      <c r="D82" s="15"/>
      <c r="E82" s="12">
        <v>14</v>
      </c>
    </row>
    <row r="83" ht="15" spans="2:5">
      <c r="B83" s="12" t="s">
        <v>2111</v>
      </c>
      <c r="C83" s="12" t="s">
        <v>1994</v>
      </c>
      <c r="D83" s="16"/>
      <c r="E83" s="12">
        <v>15</v>
      </c>
    </row>
    <row r="84" ht="15" spans="2:5">
      <c r="B84" s="12" t="s">
        <v>2112</v>
      </c>
      <c r="C84" s="12" t="s">
        <v>1996</v>
      </c>
      <c r="D84" s="14" t="s">
        <v>1692</v>
      </c>
      <c r="E84" s="12">
        <v>0</v>
      </c>
    </row>
    <row r="85" ht="15" spans="2:5">
      <c r="B85" s="12" t="s">
        <v>2113</v>
      </c>
      <c r="C85" s="12" t="s">
        <v>1998</v>
      </c>
      <c r="D85" s="15"/>
      <c r="E85" s="12">
        <v>1</v>
      </c>
    </row>
    <row r="86" ht="15" spans="2:5">
      <c r="B86" s="12" t="s">
        <v>2114</v>
      </c>
      <c r="C86" s="12" t="s">
        <v>2115</v>
      </c>
      <c r="D86" s="15"/>
      <c r="E86" s="12">
        <v>2</v>
      </c>
    </row>
    <row r="87" ht="15" spans="2:5">
      <c r="B87" s="12" t="s">
        <v>2116</v>
      </c>
      <c r="C87" s="12" t="s">
        <v>2117</v>
      </c>
      <c r="D87" s="15"/>
      <c r="E87" s="12">
        <v>3</v>
      </c>
    </row>
    <row r="88" ht="15" spans="2:5">
      <c r="B88" s="12" t="s">
        <v>2118</v>
      </c>
      <c r="C88" s="12" t="s">
        <v>2004</v>
      </c>
      <c r="D88" s="15"/>
      <c r="E88" s="12">
        <v>4</v>
      </c>
    </row>
    <row r="89" ht="15" spans="2:5">
      <c r="B89" s="12" t="s">
        <v>2119</v>
      </c>
      <c r="C89" s="12" t="s">
        <v>2006</v>
      </c>
      <c r="D89" s="15"/>
      <c r="E89" s="12">
        <v>5</v>
      </c>
    </row>
    <row r="90" ht="15" spans="2:5">
      <c r="B90" s="12" t="s">
        <v>2120</v>
      </c>
      <c r="C90" s="12" t="s">
        <v>2008</v>
      </c>
      <c r="D90" s="15"/>
      <c r="E90" s="12">
        <v>6</v>
      </c>
    </row>
    <row r="91" ht="15" spans="2:5">
      <c r="B91" s="12" t="s">
        <v>2121</v>
      </c>
      <c r="C91" s="12" t="s">
        <v>2122</v>
      </c>
      <c r="D91" s="15"/>
      <c r="E91" s="12">
        <v>7</v>
      </c>
    </row>
    <row r="92" ht="15" spans="2:5">
      <c r="B92" s="12" t="s">
        <v>2123</v>
      </c>
      <c r="C92" s="12" t="s">
        <v>2012</v>
      </c>
      <c r="D92" s="15"/>
      <c r="E92" s="12">
        <v>8</v>
      </c>
    </row>
    <row r="93" ht="15" spans="2:5">
      <c r="B93" s="12" t="s">
        <v>2124</v>
      </c>
      <c r="C93" s="12" t="s">
        <v>2014</v>
      </c>
      <c r="D93" s="15"/>
      <c r="E93" s="12">
        <v>9</v>
      </c>
    </row>
    <row r="94" ht="15" spans="2:5">
      <c r="B94" s="12" t="s">
        <v>2125</v>
      </c>
      <c r="C94" s="12" t="s">
        <v>2016</v>
      </c>
      <c r="D94" s="15"/>
      <c r="E94" s="12">
        <v>10</v>
      </c>
    </row>
    <row r="95" ht="15" spans="2:5">
      <c r="B95" s="12" t="s">
        <v>2126</v>
      </c>
      <c r="C95" s="12" t="s">
        <v>2018</v>
      </c>
      <c r="D95" s="15"/>
      <c r="E95" s="12">
        <v>11</v>
      </c>
    </row>
    <row r="96" ht="15" spans="2:5">
      <c r="B96" s="12" t="s">
        <v>2127</v>
      </c>
      <c r="C96" s="12" t="s">
        <v>2020</v>
      </c>
      <c r="D96" s="15"/>
      <c r="E96" s="12">
        <v>12</v>
      </c>
    </row>
    <row r="97" ht="15" spans="2:5">
      <c r="B97" s="12" t="s">
        <v>2128</v>
      </c>
      <c r="C97" s="12" t="s">
        <v>2129</v>
      </c>
      <c r="D97" s="15"/>
      <c r="E97" s="12">
        <v>13</v>
      </c>
    </row>
    <row r="98" ht="15" spans="2:5">
      <c r="B98" s="12" t="s">
        <v>2130</v>
      </c>
      <c r="C98" s="12" t="s">
        <v>2131</v>
      </c>
      <c r="D98" s="15"/>
      <c r="E98" s="12">
        <v>14</v>
      </c>
    </row>
    <row r="99" ht="15" spans="2:5">
      <c r="B99" s="12" t="s">
        <v>2132</v>
      </c>
      <c r="C99" s="12" t="s">
        <v>2026</v>
      </c>
      <c r="D99" s="16"/>
      <c r="E99" s="12">
        <v>15</v>
      </c>
    </row>
    <row r="100" ht="15" spans="2:5">
      <c r="B100" s="12" t="s">
        <v>2133</v>
      </c>
      <c r="C100" s="12" t="s">
        <v>2028</v>
      </c>
      <c r="D100" s="14" t="s">
        <v>1693</v>
      </c>
      <c r="E100" s="12">
        <v>0</v>
      </c>
    </row>
    <row r="101" ht="15" spans="2:5">
      <c r="B101" s="12" t="s">
        <v>2134</v>
      </c>
      <c r="C101" s="12" t="s">
        <v>2030</v>
      </c>
      <c r="D101" s="15"/>
      <c r="E101" s="12">
        <v>1</v>
      </c>
    </row>
    <row r="102" ht="15" spans="2:5">
      <c r="B102" s="12" t="s">
        <v>2135</v>
      </c>
      <c r="C102" s="12" t="s">
        <v>2032</v>
      </c>
      <c r="D102" s="15"/>
      <c r="E102" s="12">
        <v>2</v>
      </c>
    </row>
    <row r="103" ht="15" spans="2:5">
      <c r="B103" s="12" t="s">
        <v>2136</v>
      </c>
      <c r="C103" s="12" t="s">
        <v>2034</v>
      </c>
      <c r="D103" s="15"/>
      <c r="E103" s="12">
        <v>3</v>
      </c>
    </row>
    <row r="104" ht="15" spans="2:5">
      <c r="B104" s="12" t="s">
        <v>2137</v>
      </c>
      <c r="C104" s="12" t="s">
        <v>2036</v>
      </c>
      <c r="D104" s="15"/>
      <c r="E104" s="12">
        <v>4</v>
      </c>
    </row>
    <row r="105" ht="15" spans="2:5">
      <c r="B105" s="12" t="s">
        <v>2138</v>
      </c>
      <c r="C105" s="12" t="s">
        <v>2038</v>
      </c>
      <c r="D105" s="15"/>
      <c r="E105" s="12">
        <v>5</v>
      </c>
    </row>
    <row r="106" ht="15" spans="2:5">
      <c r="B106" s="12" t="s">
        <v>2139</v>
      </c>
      <c r="C106" s="12" t="s">
        <v>2140</v>
      </c>
      <c r="D106" s="15"/>
      <c r="E106" s="12">
        <v>6</v>
      </c>
    </row>
    <row r="107" ht="15" spans="2:5">
      <c r="B107" s="12" t="s">
        <v>2141</v>
      </c>
      <c r="C107" s="12" t="s">
        <v>2042</v>
      </c>
      <c r="D107" s="15"/>
      <c r="E107" s="12">
        <v>7</v>
      </c>
    </row>
    <row r="108" ht="15" spans="2:5">
      <c r="B108" s="12" t="s">
        <v>2142</v>
      </c>
      <c r="C108" s="12" t="s">
        <v>2044</v>
      </c>
      <c r="D108" s="15"/>
      <c r="E108" s="12">
        <v>8</v>
      </c>
    </row>
    <row r="109" ht="15" spans="2:5">
      <c r="B109" s="12" t="s">
        <v>2143</v>
      </c>
      <c r="C109" s="12" t="s">
        <v>2046</v>
      </c>
      <c r="D109" s="15"/>
      <c r="E109" s="12">
        <v>9</v>
      </c>
    </row>
    <row r="110" ht="15" spans="2:5">
      <c r="B110" s="12" t="s">
        <v>2144</v>
      </c>
      <c r="C110" s="12" t="s">
        <v>2048</v>
      </c>
      <c r="D110" s="15"/>
      <c r="E110" s="12">
        <v>10</v>
      </c>
    </row>
    <row r="111" ht="15" spans="2:5">
      <c r="B111" s="12" t="s">
        <v>2145</v>
      </c>
      <c r="C111" s="12" t="s">
        <v>2146</v>
      </c>
      <c r="D111" s="15"/>
      <c r="E111" s="12">
        <v>11</v>
      </c>
    </row>
    <row r="112" ht="15" spans="2:5">
      <c r="B112" s="12" t="s">
        <v>2147</v>
      </c>
      <c r="C112" s="12" t="s">
        <v>2052</v>
      </c>
      <c r="D112" s="15"/>
      <c r="E112" s="12">
        <v>12</v>
      </c>
    </row>
    <row r="113" ht="15" spans="2:5">
      <c r="B113" s="12" t="s">
        <v>2148</v>
      </c>
      <c r="C113" s="12" t="s">
        <v>2149</v>
      </c>
      <c r="D113" s="15"/>
      <c r="E113" s="12">
        <v>13</v>
      </c>
    </row>
    <row r="114" ht="15" spans="2:5">
      <c r="B114" s="12" t="s">
        <v>2150</v>
      </c>
      <c r="C114" s="12" t="s">
        <v>2056</v>
      </c>
      <c r="D114" s="15"/>
      <c r="E114" s="12">
        <v>14</v>
      </c>
    </row>
    <row r="115" ht="15" spans="2:5">
      <c r="B115" s="12" t="s">
        <v>2151</v>
      </c>
      <c r="C115" s="12" t="s">
        <v>2058</v>
      </c>
      <c r="D115" s="16"/>
      <c r="E115" s="12">
        <v>15</v>
      </c>
    </row>
    <row r="116" ht="15" spans="2:5">
      <c r="B116" s="12" t="s">
        <v>2152</v>
      </c>
      <c r="C116" s="12" t="s">
        <v>2060</v>
      </c>
      <c r="D116" s="14" t="s">
        <v>1694</v>
      </c>
      <c r="E116" s="12">
        <v>0</v>
      </c>
    </row>
    <row r="117" ht="15" spans="2:5">
      <c r="B117" s="12" t="s">
        <v>2153</v>
      </c>
      <c r="C117" s="12" t="s">
        <v>2062</v>
      </c>
      <c r="D117" s="15"/>
      <c r="E117" s="12">
        <v>1</v>
      </c>
    </row>
    <row r="118" ht="15" spans="2:5">
      <c r="B118" s="12" t="s">
        <v>2154</v>
      </c>
      <c r="C118" s="12" t="s">
        <v>2064</v>
      </c>
      <c r="D118" s="15"/>
      <c r="E118" s="12">
        <v>2</v>
      </c>
    </row>
    <row r="119" ht="15" spans="2:5">
      <c r="B119" s="12" t="s">
        <v>2155</v>
      </c>
      <c r="C119" s="12" t="s">
        <v>2066</v>
      </c>
      <c r="D119" s="15"/>
      <c r="E119" s="12">
        <v>3</v>
      </c>
    </row>
    <row r="120" ht="15" spans="2:5">
      <c r="B120" s="12" t="s">
        <v>2156</v>
      </c>
      <c r="C120" s="12" t="s">
        <v>2068</v>
      </c>
      <c r="D120" s="15"/>
      <c r="E120" s="12">
        <v>4</v>
      </c>
    </row>
    <row r="121" ht="15" spans="2:5">
      <c r="B121" s="12" t="s">
        <v>2157</v>
      </c>
      <c r="C121" s="12" t="s">
        <v>2070</v>
      </c>
      <c r="D121" s="15"/>
      <c r="E121" s="12">
        <v>5</v>
      </c>
    </row>
    <row r="122" ht="15" spans="2:5">
      <c r="B122" s="12" t="s">
        <v>2158</v>
      </c>
      <c r="C122" s="12" t="s">
        <v>2159</v>
      </c>
      <c r="D122" s="15"/>
      <c r="E122" s="12">
        <v>6</v>
      </c>
    </row>
    <row r="123" ht="15" spans="2:5">
      <c r="B123" s="12" t="s">
        <v>2160</v>
      </c>
      <c r="C123" s="12" t="s">
        <v>2074</v>
      </c>
      <c r="D123" s="15"/>
      <c r="E123" s="12">
        <v>7</v>
      </c>
    </row>
    <row r="124" ht="15" spans="2:5">
      <c r="B124" s="12" t="s">
        <v>2161</v>
      </c>
      <c r="C124" s="12" t="s">
        <v>2076</v>
      </c>
      <c r="D124" s="15"/>
      <c r="E124" s="12">
        <v>8</v>
      </c>
    </row>
    <row r="125" ht="15" spans="2:5">
      <c r="B125" s="12" t="s">
        <v>2162</v>
      </c>
      <c r="C125" s="12" t="s">
        <v>2078</v>
      </c>
      <c r="D125" s="15"/>
      <c r="E125" s="12">
        <v>9</v>
      </c>
    </row>
    <row r="126" ht="15" spans="2:5">
      <c r="B126" s="12" t="s">
        <v>2163</v>
      </c>
      <c r="C126" s="12" t="s">
        <v>2080</v>
      </c>
      <c r="D126" s="15"/>
      <c r="E126" s="12">
        <v>10</v>
      </c>
    </row>
    <row r="127" ht="15" spans="2:5">
      <c r="B127" s="12" t="s">
        <v>2164</v>
      </c>
      <c r="C127" s="12" t="s">
        <v>2082</v>
      </c>
      <c r="D127" s="15"/>
      <c r="E127" s="12">
        <v>11</v>
      </c>
    </row>
    <row r="128" ht="15" spans="2:5">
      <c r="B128" s="12" t="s">
        <v>2165</v>
      </c>
      <c r="C128" s="12" t="s">
        <v>2084</v>
      </c>
      <c r="D128" s="15"/>
      <c r="E128" s="12">
        <v>12</v>
      </c>
    </row>
    <row r="129" ht="15" spans="2:5">
      <c r="B129" s="12" t="s">
        <v>2166</v>
      </c>
      <c r="C129" s="12" t="s">
        <v>2086</v>
      </c>
      <c r="D129" s="15"/>
      <c r="E129" s="12">
        <v>13</v>
      </c>
    </row>
    <row r="130" ht="15" spans="2:5">
      <c r="B130" s="12" t="s">
        <v>2167</v>
      </c>
      <c r="C130" s="12" t="s">
        <v>2088</v>
      </c>
      <c r="D130" s="15"/>
      <c r="E130" s="12">
        <v>14</v>
      </c>
    </row>
    <row r="131" ht="15" spans="2:5">
      <c r="B131" s="12" t="s">
        <v>2168</v>
      </c>
      <c r="C131" s="12" t="s">
        <v>2169</v>
      </c>
      <c r="D131" s="16"/>
      <c r="E131" s="12">
        <v>15</v>
      </c>
    </row>
    <row r="132" ht="15" spans="2:5">
      <c r="B132" s="12" t="s">
        <v>2170</v>
      </c>
      <c r="C132" s="12" t="s">
        <v>1964</v>
      </c>
      <c r="D132" s="14" t="s">
        <v>672</v>
      </c>
      <c r="E132" s="12">
        <v>0</v>
      </c>
    </row>
    <row r="133" ht="15" spans="2:5">
      <c r="B133" s="12" t="s">
        <v>2171</v>
      </c>
      <c r="C133" s="12" t="s">
        <v>1966</v>
      </c>
      <c r="D133" s="15"/>
      <c r="E133" s="12">
        <v>1</v>
      </c>
    </row>
    <row r="134" ht="15" spans="2:5">
      <c r="B134" s="12" t="s">
        <v>2172</v>
      </c>
      <c r="C134" s="12" t="s">
        <v>1968</v>
      </c>
      <c r="D134" s="15"/>
      <c r="E134" s="12">
        <v>2</v>
      </c>
    </row>
    <row r="135" ht="15" spans="2:5">
      <c r="B135" s="12" t="s">
        <v>2173</v>
      </c>
      <c r="C135" s="12" t="s">
        <v>1970</v>
      </c>
      <c r="D135" s="15"/>
      <c r="E135" s="12">
        <v>3</v>
      </c>
    </row>
    <row r="136" ht="15" spans="2:5">
      <c r="B136" s="12" t="s">
        <v>2174</v>
      </c>
      <c r="C136" s="12" t="s">
        <v>1972</v>
      </c>
      <c r="D136" s="15"/>
      <c r="E136" s="12">
        <v>4</v>
      </c>
    </row>
    <row r="137" ht="15" spans="2:5">
      <c r="B137" s="12" t="s">
        <v>2175</v>
      </c>
      <c r="C137" s="12" t="s">
        <v>1974</v>
      </c>
      <c r="D137" s="15"/>
      <c r="E137" s="12">
        <v>5</v>
      </c>
    </row>
    <row r="138" ht="15" spans="2:5">
      <c r="B138" s="12" t="s">
        <v>2176</v>
      </c>
      <c r="C138" s="12" t="s">
        <v>1976</v>
      </c>
      <c r="D138" s="15"/>
      <c r="E138" s="12">
        <v>6</v>
      </c>
    </row>
    <row r="139" ht="15" spans="2:5">
      <c r="B139" s="12" t="s">
        <v>2177</v>
      </c>
      <c r="C139" s="12" t="s">
        <v>1978</v>
      </c>
      <c r="D139" s="15"/>
      <c r="E139" s="12">
        <v>7</v>
      </c>
    </row>
    <row r="140" ht="15" spans="2:5">
      <c r="B140" s="12" t="s">
        <v>2178</v>
      </c>
      <c r="C140" s="12" t="s">
        <v>2179</v>
      </c>
      <c r="D140" s="15"/>
      <c r="E140" s="12">
        <v>8</v>
      </c>
    </row>
    <row r="141" ht="29.25" spans="2:5">
      <c r="B141" s="12" t="s">
        <v>2180</v>
      </c>
      <c r="C141" s="12" t="s">
        <v>1982</v>
      </c>
      <c r="D141" s="15"/>
      <c r="E141" s="12">
        <v>9</v>
      </c>
    </row>
    <row r="142" ht="15" spans="2:5">
      <c r="B142" s="12" t="s">
        <v>2181</v>
      </c>
      <c r="C142" s="12" t="s">
        <v>1984</v>
      </c>
      <c r="D142" s="15"/>
      <c r="E142" s="12">
        <v>10</v>
      </c>
    </row>
    <row r="143" ht="15" spans="2:5">
      <c r="B143" s="12" t="s">
        <v>2182</v>
      </c>
      <c r="C143" s="12" t="s">
        <v>1986</v>
      </c>
      <c r="D143" s="15"/>
      <c r="E143" s="12">
        <v>11</v>
      </c>
    </row>
    <row r="144" ht="15" spans="2:5">
      <c r="B144" s="12" t="s">
        <v>2183</v>
      </c>
      <c r="C144" s="12" t="s">
        <v>1988</v>
      </c>
      <c r="D144" s="15"/>
      <c r="E144" s="12">
        <v>12</v>
      </c>
    </row>
    <row r="145" ht="15" spans="2:5">
      <c r="B145" s="12" t="s">
        <v>2184</v>
      </c>
      <c r="C145" s="12" t="s">
        <v>1990</v>
      </c>
      <c r="D145" s="15"/>
      <c r="E145" s="12">
        <v>13</v>
      </c>
    </row>
    <row r="146" ht="15" spans="2:5">
      <c r="B146" s="12" t="s">
        <v>2185</v>
      </c>
      <c r="C146" s="12" t="s">
        <v>1992</v>
      </c>
      <c r="D146" s="15"/>
      <c r="E146" s="12">
        <v>14</v>
      </c>
    </row>
    <row r="147" ht="15" spans="2:5">
      <c r="B147" s="12" t="s">
        <v>2186</v>
      </c>
      <c r="C147" s="12" t="s">
        <v>1994</v>
      </c>
      <c r="D147" s="16"/>
      <c r="E147" s="12">
        <v>15</v>
      </c>
    </row>
    <row r="148" ht="15" spans="2:5">
      <c r="B148" s="12" t="s">
        <v>2187</v>
      </c>
      <c r="C148" s="12" t="s">
        <v>1996</v>
      </c>
      <c r="D148" s="14" t="s">
        <v>675</v>
      </c>
      <c r="E148" s="12">
        <v>0</v>
      </c>
    </row>
    <row r="149" ht="15" spans="2:5">
      <c r="B149" s="12" t="s">
        <v>2188</v>
      </c>
      <c r="C149" s="12" t="s">
        <v>1998</v>
      </c>
      <c r="D149" s="15"/>
      <c r="E149" s="12">
        <v>1</v>
      </c>
    </row>
    <row r="150" ht="15" spans="2:5">
      <c r="B150" s="12" t="s">
        <v>2189</v>
      </c>
      <c r="C150" s="12" t="s">
        <v>2000</v>
      </c>
      <c r="D150" s="15"/>
      <c r="E150" s="12">
        <v>2</v>
      </c>
    </row>
    <row r="151" ht="15" spans="2:5">
      <c r="B151" s="12" t="s">
        <v>2190</v>
      </c>
      <c r="C151" s="12" t="s">
        <v>2002</v>
      </c>
      <c r="D151" s="15"/>
      <c r="E151" s="12">
        <v>3</v>
      </c>
    </row>
    <row r="152" ht="15" spans="2:5">
      <c r="B152" s="12" t="s">
        <v>2191</v>
      </c>
      <c r="C152" s="12" t="s">
        <v>2004</v>
      </c>
      <c r="D152" s="15"/>
      <c r="E152" s="12">
        <v>4</v>
      </c>
    </row>
    <row r="153" ht="15" spans="2:5">
      <c r="B153" s="12" t="s">
        <v>2192</v>
      </c>
      <c r="C153" s="12" t="s">
        <v>2006</v>
      </c>
      <c r="D153" s="15"/>
      <c r="E153" s="12">
        <v>5</v>
      </c>
    </row>
    <row r="154" ht="15" spans="2:5">
      <c r="B154" s="12" t="s">
        <v>2193</v>
      </c>
      <c r="C154" s="12" t="s">
        <v>2008</v>
      </c>
      <c r="D154" s="15"/>
      <c r="E154" s="12">
        <v>6</v>
      </c>
    </row>
    <row r="155" ht="15" spans="2:5">
      <c r="B155" s="12" t="s">
        <v>2194</v>
      </c>
      <c r="C155" s="12" t="s">
        <v>2010</v>
      </c>
      <c r="D155" s="15"/>
      <c r="E155" s="12">
        <v>7</v>
      </c>
    </row>
    <row r="156" ht="15" spans="2:5">
      <c r="B156" s="12" t="s">
        <v>2195</v>
      </c>
      <c r="C156" s="12" t="s">
        <v>2012</v>
      </c>
      <c r="D156" s="15"/>
      <c r="E156" s="12">
        <v>8</v>
      </c>
    </row>
    <row r="157" ht="15" spans="2:5">
      <c r="B157" s="12" t="s">
        <v>2196</v>
      </c>
      <c r="C157" s="12" t="s">
        <v>2014</v>
      </c>
      <c r="D157" s="15"/>
      <c r="E157" s="12">
        <v>9</v>
      </c>
    </row>
    <row r="158" ht="15" spans="2:5">
      <c r="B158" s="12" t="s">
        <v>2197</v>
      </c>
      <c r="C158" s="12" t="s">
        <v>2016</v>
      </c>
      <c r="D158" s="15"/>
      <c r="E158" s="12">
        <v>10</v>
      </c>
    </row>
    <row r="159" ht="15" spans="2:5">
      <c r="B159" s="12" t="s">
        <v>2198</v>
      </c>
      <c r="C159" s="12" t="s">
        <v>2018</v>
      </c>
      <c r="D159" s="15"/>
      <c r="E159" s="12">
        <v>11</v>
      </c>
    </row>
    <row r="160" ht="15" spans="2:5">
      <c r="B160" s="12" t="s">
        <v>2199</v>
      </c>
      <c r="C160" s="12" t="s">
        <v>2020</v>
      </c>
      <c r="D160" s="15"/>
      <c r="E160" s="12">
        <v>12</v>
      </c>
    </row>
    <row r="161" ht="15" spans="2:5">
      <c r="B161" s="12" t="s">
        <v>2200</v>
      </c>
      <c r="C161" s="12" t="s">
        <v>2022</v>
      </c>
      <c r="D161" s="15"/>
      <c r="E161" s="12">
        <v>13</v>
      </c>
    </row>
    <row r="162" ht="15" spans="2:5">
      <c r="B162" s="12" t="s">
        <v>2201</v>
      </c>
      <c r="C162" s="12" t="s">
        <v>2024</v>
      </c>
      <c r="D162" s="15"/>
      <c r="E162" s="12">
        <v>14</v>
      </c>
    </row>
    <row r="163" ht="15" spans="2:5">
      <c r="B163" s="12" t="s">
        <v>2202</v>
      </c>
      <c r="C163" s="12" t="s">
        <v>2026</v>
      </c>
      <c r="D163" s="16"/>
      <c r="E163" s="12">
        <v>15</v>
      </c>
    </row>
    <row r="164" ht="15" spans="2:5">
      <c r="B164" s="12" t="s">
        <v>2203</v>
      </c>
      <c r="C164" s="12" t="s">
        <v>2028</v>
      </c>
      <c r="D164" s="14" t="s">
        <v>677</v>
      </c>
      <c r="E164" s="12">
        <v>0</v>
      </c>
    </row>
    <row r="165" ht="15" spans="2:5">
      <c r="B165" s="12" t="s">
        <v>2204</v>
      </c>
      <c r="C165" s="12" t="s">
        <v>2030</v>
      </c>
      <c r="D165" s="15"/>
      <c r="E165" s="12">
        <v>1</v>
      </c>
    </row>
    <row r="166" ht="15" spans="2:5">
      <c r="B166" s="12" t="s">
        <v>2205</v>
      </c>
      <c r="C166" s="12" t="s">
        <v>2032</v>
      </c>
      <c r="D166" s="15"/>
      <c r="E166" s="12">
        <v>2</v>
      </c>
    </row>
    <row r="167" ht="15" spans="2:5">
      <c r="B167" s="12" t="s">
        <v>2206</v>
      </c>
      <c r="C167" s="12" t="s">
        <v>2034</v>
      </c>
      <c r="D167" s="15"/>
      <c r="E167" s="12">
        <v>3</v>
      </c>
    </row>
    <row r="168" ht="15" spans="2:5">
      <c r="B168" s="12" t="s">
        <v>2207</v>
      </c>
      <c r="C168" s="12" t="s">
        <v>2036</v>
      </c>
      <c r="D168" s="15"/>
      <c r="E168" s="12">
        <v>4</v>
      </c>
    </row>
    <row r="169" ht="15" spans="2:5">
      <c r="B169" s="12" t="s">
        <v>2208</v>
      </c>
      <c r="C169" s="12" t="s">
        <v>2038</v>
      </c>
      <c r="D169" s="15"/>
      <c r="E169" s="12">
        <v>5</v>
      </c>
    </row>
    <row r="170" ht="15" spans="2:5">
      <c r="B170" s="12" t="s">
        <v>2209</v>
      </c>
      <c r="C170" s="12" t="s">
        <v>2140</v>
      </c>
      <c r="D170" s="15"/>
      <c r="E170" s="12">
        <v>6</v>
      </c>
    </row>
    <row r="171" ht="15" spans="2:5">
      <c r="B171" s="12" t="s">
        <v>2210</v>
      </c>
      <c r="C171" s="12" t="s">
        <v>2042</v>
      </c>
      <c r="D171" s="15"/>
      <c r="E171" s="12">
        <v>7</v>
      </c>
    </row>
    <row r="172" ht="15" spans="2:5">
      <c r="B172" s="12" t="s">
        <v>2211</v>
      </c>
      <c r="C172" s="12" t="s">
        <v>2044</v>
      </c>
      <c r="D172" s="15"/>
      <c r="E172" s="12">
        <v>8</v>
      </c>
    </row>
    <row r="173" ht="15" spans="2:5">
      <c r="B173" s="12" t="s">
        <v>2212</v>
      </c>
      <c r="C173" s="12" t="s">
        <v>2046</v>
      </c>
      <c r="D173" s="15"/>
      <c r="E173" s="12">
        <v>9</v>
      </c>
    </row>
    <row r="174" ht="15" spans="2:5">
      <c r="B174" s="12" t="s">
        <v>2213</v>
      </c>
      <c r="C174" s="12" t="s">
        <v>2048</v>
      </c>
      <c r="D174" s="15"/>
      <c r="E174" s="12">
        <v>10</v>
      </c>
    </row>
    <row r="175" ht="15" spans="2:5">
      <c r="B175" s="12" t="s">
        <v>2214</v>
      </c>
      <c r="C175" s="12" t="s">
        <v>2050</v>
      </c>
      <c r="D175" s="15"/>
      <c r="E175" s="12">
        <v>11</v>
      </c>
    </row>
    <row r="176" ht="15" spans="2:5">
      <c r="B176" s="12" t="s">
        <v>2215</v>
      </c>
      <c r="C176" s="12" t="s">
        <v>2052</v>
      </c>
      <c r="D176" s="15"/>
      <c r="E176" s="12">
        <v>12</v>
      </c>
    </row>
    <row r="177" ht="15" spans="2:5">
      <c r="B177" s="12" t="s">
        <v>2216</v>
      </c>
      <c r="C177" s="12" t="s">
        <v>2054</v>
      </c>
      <c r="D177" s="15"/>
      <c r="E177" s="12">
        <v>13</v>
      </c>
    </row>
    <row r="178" ht="15" spans="2:5">
      <c r="B178" s="12" t="s">
        <v>2217</v>
      </c>
      <c r="C178" s="12" t="s">
        <v>2056</v>
      </c>
      <c r="D178" s="15"/>
      <c r="E178" s="12">
        <v>14</v>
      </c>
    </row>
    <row r="179" ht="15" spans="2:5">
      <c r="B179" s="12" t="s">
        <v>2218</v>
      </c>
      <c r="C179" s="12" t="s">
        <v>2058</v>
      </c>
      <c r="D179" s="16"/>
      <c r="E179" s="12">
        <v>15</v>
      </c>
    </row>
    <row r="180" ht="15" spans="2:5">
      <c r="B180" s="12" t="s">
        <v>2219</v>
      </c>
      <c r="C180" s="12" t="s">
        <v>2060</v>
      </c>
      <c r="D180" s="14" t="s">
        <v>679</v>
      </c>
      <c r="E180" s="12">
        <v>0</v>
      </c>
    </row>
    <row r="181" ht="15" spans="2:5">
      <c r="B181" s="12" t="s">
        <v>2220</v>
      </c>
      <c r="C181" s="12" t="s">
        <v>2062</v>
      </c>
      <c r="D181" s="15"/>
      <c r="E181" s="12">
        <v>1</v>
      </c>
    </row>
    <row r="182" ht="15" spans="2:5">
      <c r="B182" s="12" t="s">
        <v>2221</v>
      </c>
      <c r="C182" s="12" t="s">
        <v>2064</v>
      </c>
      <c r="D182" s="15"/>
      <c r="E182" s="12">
        <v>2</v>
      </c>
    </row>
    <row r="183" ht="15" spans="2:5">
      <c r="B183" s="12" t="s">
        <v>2222</v>
      </c>
      <c r="C183" s="12" t="s">
        <v>2066</v>
      </c>
      <c r="D183" s="15"/>
      <c r="E183" s="12">
        <v>3</v>
      </c>
    </row>
    <row r="184" ht="15" spans="2:5">
      <c r="B184" s="12" t="s">
        <v>2223</v>
      </c>
      <c r="C184" s="12" t="s">
        <v>2068</v>
      </c>
      <c r="D184" s="15"/>
      <c r="E184" s="12">
        <v>4</v>
      </c>
    </row>
    <row r="185" ht="15" spans="2:5">
      <c r="B185" s="12" t="s">
        <v>2224</v>
      </c>
      <c r="C185" s="12" t="s">
        <v>2070</v>
      </c>
      <c r="D185" s="15"/>
      <c r="E185" s="12">
        <v>5</v>
      </c>
    </row>
    <row r="186" ht="15" spans="2:5">
      <c r="B186" s="12" t="s">
        <v>2225</v>
      </c>
      <c r="C186" s="12" t="s">
        <v>2072</v>
      </c>
      <c r="D186" s="15"/>
      <c r="E186" s="12">
        <v>6</v>
      </c>
    </row>
    <row r="187" ht="15" spans="2:5">
      <c r="B187" s="12" t="s">
        <v>2226</v>
      </c>
      <c r="C187" s="12" t="s">
        <v>2074</v>
      </c>
      <c r="D187" s="15"/>
      <c r="E187" s="12">
        <v>7</v>
      </c>
    </row>
    <row r="188" ht="15" spans="2:5">
      <c r="B188" s="12" t="s">
        <v>2227</v>
      </c>
      <c r="C188" s="12" t="s">
        <v>2076</v>
      </c>
      <c r="D188" s="15"/>
      <c r="E188" s="12">
        <v>8</v>
      </c>
    </row>
    <row r="189" ht="15" spans="2:5">
      <c r="B189" s="12" t="s">
        <v>2228</v>
      </c>
      <c r="C189" s="12" t="s">
        <v>2078</v>
      </c>
      <c r="D189" s="15"/>
      <c r="E189" s="12">
        <v>9</v>
      </c>
    </row>
    <row r="190" ht="15" spans="2:5">
      <c r="B190" s="12" t="s">
        <v>2229</v>
      </c>
      <c r="C190" s="12" t="s">
        <v>2080</v>
      </c>
      <c r="D190" s="15"/>
      <c r="E190" s="12">
        <v>10</v>
      </c>
    </row>
    <row r="191" ht="15" spans="2:5">
      <c r="B191" s="12" t="s">
        <v>2230</v>
      </c>
      <c r="C191" s="12" t="s">
        <v>2082</v>
      </c>
      <c r="D191" s="15"/>
      <c r="E191" s="12">
        <v>11</v>
      </c>
    </row>
    <row r="192" ht="15" spans="2:5">
      <c r="B192" s="12" t="s">
        <v>2231</v>
      </c>
      <c r="C192" s="12" t="s">
        <v>2084</v>
      </c>
      <c r="D192" s="15"/>
      <c r="E192" s="12">
        <v>12</v>
      </c>
    </row>
    <row r="193" ht="15" spans="2:5">
      <c r="B193" s="12" t="s">
        <v>2232</v>
      </c>
      <c r="C193" s="12" t="s">
        <v>2086</v>
      </c>
      <c r="D193" s="15"/>
      <c r="E193" s="12">
        <v>13</v>
      </c>
    </row>
    <row r="194" ht="15" spans="2:5">
      <c r="B194" s="12" t="s">
        <v>2233</v>
      </c>
      <c r="C194" s="12" t="s">
        <v>2088</v>
      </c>
      <c r="D194" s="15"/>
      <c r="E194" s="12">
        <v>14</v>
      </c>
    </row>
    <row r="195" ht="15" spans="2:5">
      <c r="B195" s="12" t="s">
        <v>2234</v>
      </c>
      <c r="C195" s="12" t="s">
        <v>2090</v>
      </c>
      <c r="D195" s="16"/>
      <c r="E195" s="12">
        <v>15</v>
      </c>
    </row>
  </sheetData>
  <mergeCells count="13">
    <mergeCell ref="B2:C2"/>
    <mergeCell ref="D4:D19"/>
    <mergeCell ref="D20:D35"/>
    <mergeCell ref="D36:D51"/>
    <mergeCell ref="D52:D67"/>
    <mergeCell ref="D68:D83"/>
    <mergeCell ref="D84:D99"/>
    <mergeCell ref="D100:D115"/>
    <mergeCell ref="D116:D131"/>
    <mergeCell ref="D132:D147"/>
    <mergeCell ref="D148:D163"/>
    <mergeCell ref="D164:D179"/>
    <mergeCell ref="D180:D195"/>
  </mergeCells>
  <pageMargins left="0.751968503937008" right="0.751968503937008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版本管理</vt:lpstr>
      <vt:lpstr>帧结构定义</vt:lpstr>
      <vt:lpstr>寄存器地址规划</vt:lpstr>
      <vt:lpstr>遥测</vt:lpstr>
      <vt:lpstr>遥信</vt:lpstr>
      <vt:lpstr>遥调遥控</vt:lpstr>
      <vt:lpstr>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chen'cai</dc:creator>
  <cp:lastModifiedBy>wang.</cp:lastModifiedBy>
  <dcterms:created xsi:type="dcterms:W3CDTF">2023-06-13T10:49:00Z</dcterms:created>
  <dcterms:modified xsi:type="dcterms:W3CDTF">2026-03-02T07:40:54Z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E5DB87C0558F4CFABBDBA9C2E5C76FBB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